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<sst xmlns="http://schemas.openxmlformats.org/spreadsheetml/2006/main" count="233" uniqueCount="185">
  <si>
    <t xml:space="preserve">Item #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</si>
  <si>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Designator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</si>
  <si>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Package/Footprint </t>
    </r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</si>
  <si>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Qty</t>
    </r>
  </si>
  <si>
    <t xml:space="preserve">Item</t>
  </si>
  <si>
    <t xml:space="preserve">Manufacturer</t>
  </si>
  <si>
    <r>
      <rPr>
        <b val="true"/>
        <sz val="10"/>
        <color rgb="FFFF0000"/>
        <rFont val="Arial"/>
        <family val="0"/>
        <charset val="134"/>
      </rPr>
      <t xml:space="preserve">*</t>
    </r>
    <r>
      <rPr>
        <b val="true"/>
        <sz val="10"/>
        <rFont val="Arial"/>
        <family val="0"/>
        <charset val="134"/>
      </rPr>
      <t xml:space="preserve">Mfg Part #</t>
    </r>
  </si>
  <si>
    <t xml:space="preserve">Description / Value</t>
  </si>
  <si>
    <t xml:space="preserve">Part # LCSC</t>
  </si>
  <si>
    <t xml:space="preserve">LCSC Weblink</t>
  </si>
  <si>
    <t xml:space="preserve">LSCS $</t>
  </si>
  <si>
    <t xml:space="preserve">Cost LCSC</t>
  </si>
  <si>
    <t xml:space="preserve">Part # Mouser</t>
  </si>
  <si>
    <t xml:space="preserve">Mouser Weblink</t>
  </si>
  <si>
    <t xml:space="preserve">Mouser $</t>
  </si>
  <si>
    <t xml:space="preserve">C11,C12,C10,C4</t>
  </si>
  <si>
    <t xml:space="preserve">C_0402_1005Metric</t>
  </si>
  <si>
    <t xml:space="preserve">Capacitor</t>
  </si>
  <si>
    <t xml:space="preserve">muRata</t>
  </si>
  <si>
    <t xml:space="preserve">GRM155R71A104KA01D</t>
  </si>
  <si>
    <t xml:space="preserve">0u1F</t>
  </si>
  <si>
    <t xml:space="preserve">C71687</t>
  </si>
  <si>
    <t xml:space="preserve">https://www.lcsc.com/product-detail/C71687.html?s_z=n_C71687</t>
  </si>
  <si>
    <t xml:space="preserve">C14</t>
  </si>
  <si>
    <t xml:space="preserve">YAGEO</t>
  </si>
  <si>
    <t xml:space="preserve">CC0402KRX7R6BB103</t>
  </si>
  <si>
    <t xml:space="preserve">10nF</t>
  </si>
  <si>
    <t xml:space="preserve">C541371</t>
  </si>
  <si>
    <t xml:space="preserve">https://www.lcsc.com/product-detail/C541371.html?s_z=n_C541371</t>
  </si>
  <si>
    <t xml:space="preserve">C3</t>
  </si>
  <si>
    <t xml:space="preserve">GRM158R61A226ME15D</t>
  </si>
  <si>
    <t xml:space="preserve">22uF</t>
  </si>
  <si>
    <t xml:space="preserve">C3845593</t>
  </si>
  <si>
    <t xml:space="preserve">https://www.lcsc.com/product-detail/C3845593.html?s_z=n_C3845593</t>
  </si>
  <si>
    <t xml:space="preserve">C5,C1,C2</t>
  </si>
  <si>
    <t xml:space="preserve">GRM155R61A106ME44D</t>
  </si>
  <si>
    <t xml:space="preserve">10uF</t>
  </si>
  <si>
    <t xml:space="preserve">C77000</t>
  </si>
  <si>
    <t xml:space="preserve">https://www.lcsc.com/product-detail/C77000.html?s_z=n_C77000</t>
  </si>
  <si>
    <t xml:space="preserve">C9</t>
  </si>
  <si>
    <t xml:space="preserve">GRM155R61A475KEAAD</t>
  </si>
  <si>
    <t xml:space="preserve">4u7F</t>
  </si>
  <si>
    <t xml:space="preserve">C77004</t>
  </si>
  <si>
    <t xml:space="preserve">https://www.lcsc.com/product-detail/C77004.html?s_z=n_C77004</t>
  </si>
  <si>
    <t xml:space="preserve">D1</t>
  </si>
  <si>
    <t xml:space="preserve">D_SOD-923</t>
  </si>
  <si>
    <t xml:space="preserve">V_USB ESD</t>
  </si>
  <si>
    <t xml:space="preserve">onSemi</t>
  </si>
  <si>
    <t xml:space="preserve">ESD9B5.0ST5G</t>
  </si>
  <si>
    <t xml:space="preserve">C111566</t>
  </si>
  <si>
    <t xml:space="preserve">https://www.lcsc.com/product-detail/C111566.html?s_z=n_C111566</t>
  </si>
  <si>
    <t xml:space="preserve">863-ESD9B5.0ST5G</t>
  </si>
  <si>
    <t xml:space="preserve">https://www.mouser.com/ProductDetail/onsemi/ESD9B5.0ST5G?qs=HL4IEvuNMQqfrGPZiLZXfQ%3D%3D</t>
  </si>
  <si>
    <t xml:space="preserve">D4,D5</t>
  </si>
  <si>
    <t xml:space="preserve">LED_0402_1005Metric</t>
  </si>
  <si>
    <t xml:space="preserve">LED</t>
  </si>
  <si>
    <t xml:space="preserve">Vishay</t>
  </si>
  <si>
    <t xml:space="preserve">VLMB1500-GS08</t>
  </si>
  <si>
    <t xml:space="preserve">LED BLUE</t>
  </si>
  <si>
    <t xml:space="preserve">C511042</t>
  </si>
  <si>
    <t xml:space="preserve">https://www.lcsc.com/product-detail/C511042.html?s_z=n_C511042</t>
  </si>
  <si>
    <t xml:space="preserve">78-VLMB1500-GS08</t>
  </si>
  <si>
    <t xml:space="preserve">https://www.mouser.com/ProductDetail/Vishay-Semiconductors/VLMB1500-GS08?qs=sGAEpiMZZMusoohG2hS%252B1wnrwteRv1GyZtw3dXGb%252B5U%3D</t>
  </si>
  <si>
    <t xml:space="preserve">D6</t>
  </si>
  <si>
    <t xml:space="preserve">WS2812_2020</t>
  </si>
  <si>
    <t xml:space="preserve">RGB LED</t>
  </si>
  <si>
    <t xml:space="preserve">Worldsemi</t>
  </si>
  <si>
    <t xml:space="preserve">WS2812B-2020</t>
  </si>
  <si>
    <t xml:space="preserve">WS2812B</t>
  </si>
  <si>
    <t xml:space="preserve">C965555</t>
  </si>
  <si>
    <t xml:space="preserve">https://www.lcsc.com/product-detail/C965555.html?s_z=n_C965555</t>
  </si>
  <si>
    <t xml:space="preserve">D7,D8</t>
  </si>
  <si>
    <t xml:space="preserve">USB ESD</t>
  </si>
  <si>
    <t xml:space="preserve">ESD9101P2T5G</t>
  </si>
  <si>
    <t xml:space="preserve">C41348159</t>
  </si>
  <si>
    <t xml:space="preserve">https://www.lcsc.com/product-detail/C41348159.html?s_z=n_ESD9101P2T5G</t>
  </si>
  <si>
    <t xml:space="preserve">863-ESD9101P2T5G</t>
  </si>
  <si>
    <t xml:space="preserve">https://www.mouser.com/ProductDetail/onsemi/ESD9101P2T5G?qs=5aG0NVq1C4ySlMx2D5w2xw%3D%3D</t>
  </si>
  <si>
    <t xml:space="preserve">IC1</t>
  </si>
  <si>
    <t xml:space="preserve">TPS6282533DMQR</t>
  </si>
  <si>
    <t xml:space="preserve">Volt Regulator</t>
  </si>
  <si>
    <t xml:space="preserve">Texas Instruments</t>
  </si>
  <si>
    <t xml:space="preserve">C3189971</t>
  </si>
  <si>
    <t xml:space="preserve">https://www.lcsc.com/product-detail/C3189971.html?s_z=n_C3189971</t>
  </si>
  <si>
    <t xml:space="preserve">595-TPS6282533DMQR</t>
  </si>
  <si>
    <t xml:space="preserve">https://www.mouser.com/ProductDetail/Texas-Instruments/TPS6282533DMQR?qs=e8oIoAS2J1TctVdod4W0lA%3D%3D</t>
  </si>
  <si>
    <t xml:space="preserve">J1</t>
  </si>
  <si>
    <t xml:space="preserve">Castellated_1x07_P2.54mm_D0.80mm</t>
  </si>
  <si>
    <t xml:space="preserve">Connector</t>
  </si>
  <si>
    <t xml:space="preserve">Do No Populate</t>
  </si>
  <si>
    <t xml:space="preserve">Castellated_1x07</t>
  </si>
  <si>
    <t xml:space="preserve">J2</t>
  </si>
  <si>
    <t xml:space="preserve">USB412003C</t>
  </si>
  <si>
    <t xml:space="preserve">GCT</t>
  </si>
  <si>
    <t xml:space="preserve">USB4120-03-C</t>
  </si>
  <si>
    <t xml:space="preserve">C3445864</t>
  </si>
  <si>
    <t xml:space="preserve">https://www.lcsc.com/product-detail/C3445864.html?s_z=n_C3445864</t>
  </si>
  <si>
    <t xml:space="preserve">640-USB4120-03-C</t>
  </si>
  <si>
    <t xml:space="preserve">https://www.mouser.com/ProductDetail/GCT/USB4120-03-C?qs=KUoIvG%2F9IlZaAd13sVDhkQ%3D%3D</t>
  </si>
  <si>
    <t xml:space="preserve">J3</t>
  </si>
  <si>
    <t xml:space="preserve">JST_1x04_P1.0mm_Vertical_SMD</t>
  </si>
  <si>
    <t xml:space="preserve">BOOMELE</t>
  </si>
  <si>
    <t xml:space="preserve">1.0T-4P</t>
  </si>
  <si>
    <t xml:space="preserve">Qwiic_Vertical</t>
  </si>
  <si>
    <t xml:space="preserve">C970137</t>
  </si>
  <si>
    <t xml:space="preserve">https://www.lcsc.com/product-detail/C970137.html?s_z=n_C970137</t>
  </si>
  <si>
    <t xml:space="preserve">J4</t>
  </si>
  <si>
    <t xml:space="preserve">Castellated_1x01_P2.54mm_D0.80mm</t>
  </si>
  <si>
    <t xml:space="preserve">Castellated_1x01</t>
  </si>
  <si>
    <t xml:space="preserve">J5</t>
  </si>
  <si>
    <t xml:space="preserve">Castellated_1x13_P2.54mm_D0.80mm</t>
  </si>
  <si>
    <t xml:space="preserve">Castellated_1x13</t>
  </si>
  <si>
    <t xml:space="preserve">J6</t>
  </si>
  <si>
    <t xml:space="preserve">Castellated_1x15_P2.54mm_D0.80mm</t>
  </si>
  <si>
    <t xml:space="preserve">Castellated_1x15</t>
  </si>
  <si>
    <t xml:space="preserve">L1</t>
  </si>
  <si>
    <t xml:space="preserve">INDC1608X75N</t>
  </si>
  <si>
    <t xml:space="preserve">Inductor</t>
  </si>
  <si>
    <t xml:space="preserve">TDK</t>
  </si>
  <si>
    <t xml:space="preserve">TFM160808ALC-R47MTAA</t>
  </si>
  <si>
    <t xml:space="preserve">C695609</t>
  </si>
  <si>
    <t xml:space="preserve">https://www.lcsc.com/product-detail/C695609.html?s_z=n_C695609</t>
  </si>
  <si>
    <t xml:space="preserve">810-TFM160808ALCR47A</t>
  </si>
  <si>
    <t xml:space="preserve">https://www.mouser.com/ProductDetail/TDK/TFM160808ALC-R47MTAA?qs=3SnDZBG9J%252B6tokb499UWsQ%3D%3D</t>
  </si>
  <si>
    <t xml:space="preserve">R1</t>
  </si>
  <si>
    <t xml:space="preserve">R_0402_1005Metric</t>
  </si>
  <si>
    <t xml:space="preserve">Resistor</t>
  </si>
  <si>
    <t xml:space="preserve">RC0402FR-07100KL</t>
  </si>
  <si>
    <t xml:space="preserve">100k</t>
  </si>
  <si>
    <t xml:space="preserve">C60491</t>
  </si>
  <si>
    <t xml:space="preserve">https://www.lcsc.com/product-detail/C60491.html?s_z=n_C60491</t>
  </si>
  <si>
    <t xml:space="preserve">R12,R11</t>
  </si>
  <si>
    <t xml:space="preserve">RC0402FR-072K2L</t>
  </si>
  <si>
    <t xml:space="preserve">2k2</t>
  </si>
  <si>
    <t xml:space="preserve">C114762</t>
  </si>
  <si>
    <t xml:space="preserve">https://www.lcsc.com/product-detail/C114762.html?s_z=n_C114762</t>
  </si>
  <si>
    <t xml:space="preserve">R13,R17</t>
  </si>
  <si>
    <t xml:space="preserve">RC0402FR-0710KL</t>
  </si>
  <si>
    <t xml:space="preserve">10k</t>
  </si>
  <si>
    <t xml:space="preserve">C60490</t>
  </si>
  <si>
    <t xml:space="preserve">https://www.lcsc.com/product-detail/C60490.html?s_z=n_C60490</t>
  </si>
  <si>
    <t xml:space="preserve">R14,R16</t>
  </si>
  <si>
    <t xml:space="preserve">RC0402FR-074K7L</t>
  </si>
  <si>
    <t xml:space="preserve">4k7</t>
  </si>
  <si>
    <t xml:space="preserve">C105871</t>
  </si>
  <si>
    <t xml:space="preserve">https://www.lcsc.com/product-detail/C105871.html?s_z=n_C105871</t>
  </si>
  <si>
    <t xml:space="preserve">R4,R5</t>
  </si>
  <si>
    <t xml:space="preserve">RC0402FR-075K1L</t>
  </si>
  <si>
    <t xml:space="preserve">5k1</t>
  </si>
  <si>
    <t xml:space="preserve">C105872</t>
  </si>
  <si>
    <t xml:space="preserve">https://www.lcsc.com/product-detail/C105872.html?s_z=n_C105872</t>
  </si>
  <si>
    <t xml:space="preserve">S1,S2</t>
  </si>
  <si>
    <t xml:space="preserve">NANOT160AS</t>
  </si>
  <si>
    <t xml:space="preserve">Micro Switch</t>
  </si>
  <si>
    <t xml:space="preserve">C&amp;K</t>
  </si>
  <si>
    <t xml:space="preserve">C2760981</t>
  </si>
  <si>
    <t xml:space="preserve">https://www.lcsc.com/product-detail/C2760981.html?s_z=n_C2760981</t>
  </si>
  <si>
    <t xml:space="preserve">611-NANOT160AS</t>
  </si>
  <si>
    <t xml:space="preserve">https://www.mouser.com/ProductDetail/CK/NANOT160AS?qs=OlC7AqGiEDnK60t%2FC6IJyA%3D%3D</t>
  </si>
  <si>
    <t xml:space="preserve">U1</t>
  </si>
  <si>
    <t xml:space="preserve">ESP32-S2-MINI-1U</t>
  </si>
  <si>
    <t xml:space="preserve">MCU Module</t>
  </si>
  <si>
    <t xml:space="preserve">Espressif Systems</t>
  </si>
  <si>
    <t xml:space="preserve">ESP32-S3-MINI-1U-N8</t>
  </si>
  <si>
    <t xml:space="preserve">ESP32 S3 Mini 1U 8MB Flash</t>
  </si>
  <si>
    <t xml:space="preserve">C2980299</t>
  </si>
  <si>
    <t xml:space="preserve">https://www.lcsc.com/product-detail/C2980299.html?s_z=n_ESP32-S3-MINI</t>
  </si>
  <si>
    <t xml:space="preserve">U2,U3</t>
  </si>
  <si>
    <t xml:space="preserve">SOT-363_SC-70-6</t>
  </si>
  <si>
    <t xml:space="preserve">Ideal Diode</t>
  </si>
  <si>
    <t xml:space="preserve">LM66100DCK</t>
  </si>
  <si>
    <t xml:space="preserve">Ideal Diode, Input Polarity Prot.</t>
  </si>
  <si>
    <t xml:space="preserve">C2869734</t>
  </si>
  <si>
    <t xml:space="preserve">https://www.lcsc.com/product-detail/C2869734.html?s_z=n_C2869734</t>
  </si>
  <si>
    <t xml:space="preserve">595-LM66100DCKT</t>
  </si>
  <si>
    <t xml:space="preserve">https://www.mouser.com/ProductDetail/Texas-Instruments/LM66100DCKT?qs=vLWxofP3U2zoiBCtDTudjw%3D%3D</t>
  </si>
  <si>
    <t xml:space="preserve">U4</t>
  </si>
  <si>
    <t xml:space="preserve">SOT-563</t>
  </si>
  <si>
    <t xml:space="preserve">Temp Sensor</t>
  </si>
  <si>
    <t xml:space="preserve">TMP102AIDRLR</t>
  </si>
  <si>
    <t xml:space="preserve">TMP102</t>
  </si>
  <si>
    <t xml:space="preserve">C99269</t>
  </si>
  <si>
    <t xml:space="preserve">https://www.lcsc.com/product-detail/C99269.html?s_z=n_C99269</t>
  </si>
  <si>
    <t xml:space="preserve">595-TMP102AQDRLRQ1</t>
  </si>
  <si>
    <t xml:space="preserve">https://www.mouser.com/ProductDetail/Texas-Instruments/TMP102AQDRLRQ1?qs=asCBFxFfL1SM%2FKfsYcTt1w%3D%3D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</si>
</sst>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34"/>
    </font>
    <font>
      <b val="true"/>
      <sz val="10"/>
      <color rgb="FFFF0000"/>
      <name val="Arial"/>
      <family val="0"/>
      <charset val="134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0"/>
      <color rgb="FF0563C1"/>
      <name val="Arial"/>
      <family val="2"/>
      <charset val="1"/>
    </font>
    <font>
      <u val="single"/>
      <sz val="11"/>
      <color rgb="FF0563C1"/>
      <name val="Calibri"/>
      <family val="2"/>
      <charset val="1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 patternType="solid">
          <fgColor rgb="FFBFBFB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0563C1"/>
        </patternFill>
      </fill>
    </dxf>
    <dxf>
      <fill>
        <patternFill patternType="solid">
          <fgColor rgb="FF000000"/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csc.com/product-detail/C71687.html?s_z=n_C71687" TargetMode="External"/><Relationship Id="rId2" Type="http://schemas.openxmlformats.org/officeDocument/2006/relationships/hyperlink" Target="https://www.lcsc.com/product-detail/C541371.html?s_z=n_C541371" TargetMode="External"/><Relationship Id="rId3" Type="http://schemas.openxmlformats.org/officeDocument/2006/relationships/hyperlink" Target="https://www.lcsc.com/product-detail/C3845593.html?s_z=n_C3845593" TargetMode="External"/><Relationship Id="rId4" Type="http://schemas.openxmlformats.org/officeDocument/2006/relationships/hyperlink" Target="https://www.lcsc.com/product-detail/C77000.html?s_z=n_C77000" TargetMode="External"/><Relationship Id="rId5" Type="http://schemas.openxmlformats.org/officeDocument/2006/relationships/hyperlink" Target="https://www.lcsc.com/product-detail/C77004.html?s_z=n_C77004" TargetMode="External"/><Relationship Id="rId6" Type="http://schemas.openxmlformats.org/officeDocument/2006/relationships/hyperlink" Target="https://www.lcsc.com/product-detail/C111566.html?s_z=n_C111566" TargetMode="External"/><Relationship Id="rId7" Type="http://schemas.openxmlformats.org/officeDocument/2006/relationships/hyperlink" Target="https://www.mouser.com/ProductDetail/onsemi/ESD9B5.0ST5G?qs=HL4IEvuNMQqfrGPZiLZXfQ%3D%3D" TargetMode="External"/><Relationship Id="rId8" Type="http://schemas.openxmlformats.org/officeDocument/2006/relationships/hyperlink" Target="https://www.lcsc.com/product-detail/C511042.html?s_z=n_C511042" TargetMode="External"/><Relationship Id="rId9" Type="http://schemas.openxmlformats.org/officeDocument/2006/relationships/hyperlink" Target="https://www.mouser.com/ProductDetail/Vishay-Semiconductors/VLMB1500-GS08?qs=sGAEpiMZZMusoohG2hS%252B1wnrwteRv1GyZtw3dXGb%252B5U%3D" TargetMode="External"/><Relationship Id="rId10" Type="http://schemas.openxmlformats.org/officeDocument/2006/relationships/hyperlink" Target="https://www.lcsc.com/product-detail/C965555.html?s_z=n_C965555" TargetMode="External"/><Relationship Id="rId11" Type="http://schemas.openxmlformats.org/officeDocument/2006/relationships/hyperlink" Target="https://www.lcsc.com/product-detail/C41348159.html?s_z=n_ESD9101P2T5G" TargetMode="External"/><Relationship Id="rId12" Type="http://schemas.openxmlformats.org/officeDocument/2006/relationships/hyperlink" Target="https://www.mouser.com/ProductDetail/onsemi/ESD9101P2T5G?qs=5aG0NVq1C4ySlMx2D5w2xw%3D%3D" TargetMode="External"/><Relationship Id="rId13" Type="http://schemas.openxmlformats.org/officeDocument/2006/relationships/hyperlink" Target="https://www.lcsc.com/product-detail/C3189971.html?s_z=n_C3189971" TargetMode="External"/><Relationship Id="rId14" Type="http://schemas.openxmlformats.org/officeDocument/2006/relationships/hyperlink" Target="https://www.mouser.com/ProductDetail/Texas-Instruments/TPS6282533DMQR?qs=e8oIoAS2J1TctVdod4W0lA%3D%3D" TargetMode="External"/><Relationship Id="rId15" Type="http://schemas.openxmlformats.org/officeDocument/2006/relationships/hyperlink" Target="https://www.lcsc.com/product-detail/C3445864.html?s_z=n_C3445864" TargetMode="External"/><Relationship Id="rId16" Type="http://schemas.openxmlformats.org/officeDocument/2006/relationships/hyperlink" Target="https://www.mouser.com/ProductDetail/GCT/USB4120-03-C?qs=KUoIvG%2F9IlZaAd13sVDhkQ%3D%3D" TargetMode="External"/><Relationship Id="rId17" Type="http://schemas.openxmlformats.org/officeDocument/2006/relationships/hyperlink" Target="https://www/" TargetMode="External"/><Relationship Id="rId18" Type="http://schemas.openxmlformats.org/officeDocument/2006/relationships/hyperlink" Target="https://www.lcsc.com/product-detail/C695609.html?s_z=n_C695609" TargetMode="External"/><Relationship Id="rId19" Type="http://schemas.openxmlformats.org/officeDocument/2006/relationships/hyperlink" Target="https://www.mouser.com/ProductDetail/TDK/TFM160808ALC-R47MTAA?qs=3SnDZBG9J%252B6tokb499UWsQ%3D%3D" TargetMode="External"/><Relationship Id="rId20" Type="http://schemas.openxmlformats.org/officeDocument/2006/relationships/hyperlink" Target="https://www.lcsc.com/product-detail/C60491.html?s_z=n_C60491" TargetMode="External"/><Relationship Id="rId21" Type="http://schemas.openxmlformats.org/officeDocument/2006/relationships/hyperlink" Target="https://www.lcsc.com/product-detail/C114762.html?s_z=n_C114762" TargetMode="External"/><Relationship Id="rId22" Type="http://schemas.openxmlformats.org/officeDocument/2006/relationships/hyperlink" Target="https://www.lcsc.com/product-detail/C60490.html?s_z=n_C60490" TargetMode="External"/><Relationship Id="rId23" Type="http://schemas.openxmlformats.org/officeDocument/2006/relationships/hyperlink" Target="https://www.lcsc.com/product-detail/C105871.html?s_z=n_C105871" TargetMode="External"/><Relationship Id="rId24" Type="http://schemas.openxmlformats.org/officeDocument/2006/relationships/hyperlink" Target="https://www.lcsc.com/product-detail/C105872.html?s_z=n_C105872" TargetMode="External"/><Relationship Id="rId25" Type="http://schemas.openxmlformats.org/officeDocument/2006/relationships/hyperlink" Target="https://www.lcsc.com/product-detail/C2760981.html?s_z=n_C2760981" TargetMode="External"/><Relationship Id="rId26" Type="http://schemas.openxmlformats.org/officeDocument/2006/relationships/hyperlink" Target="https://www.mouser.com/ProductDetail/CK/NANOT160AS?qs=OlC7AqGiEDnK60t%2FC6IJyA%3D%3D" TargetMode="External"/><Relationship Id="rId27" Type="http://schemas.openxmlformats.org/officeDocument/2006/relationships/hyperlink" Target="https://www.lcsc.com/product-detail/C2980299.html?s_z=n_ESP32-S3-MINI" TargetMode="External"/><Relationship Id="rId28" Type="http://schemas.openxmlformats.org/officeDocument/2006/relationships/hyperlink" Target="https://www.lcsc.com/product-detail/C2869734.html?s_z=n_C2869734" TargetMode="External"/><Relationship Id="rId29" Type="http://schemas.openxmlformats.org/officeDocument/2006/relationships/hyperlink" Target="https://www.mouser.com/ProductDetail/Texas-Instruments/LM66100DCKT?qs=vLWxofP3U2zoiBCtDTudjw%3D%3D" TargetMode="External"/><Relationship Id="rId30" Type="http://schemas.openxmlformats.org/officeDocument/2006/relationships/hyperlink" Target="https://www.lcsc.com/product-detail/C99269.html?s_z=n_C99269" TargetMode="External"/><Relationship Id="rId31" Type="http://schemas.openxmlformats.org/officeDocument/2006/relationships/hyperlink" Target="https://www.mouser.com/ProductDetail/Texas-Instruments/TMP102AQDRLRQ1?qs=asCBFxFfL1SM%2FKfsYcTt1w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D1" activeCellId="0" sqref="D:D"/>
    </sheetView>
  </sheetViews>
  <sheetFormatPr defaultColWidth="11.55078125" defaultRowHeight="12.8" zeroHeight="false" outlineLevelRow="0" outlineLevelCol="0"/>
  <cols>
    <col collapsed="false" customWidth="true" hidden="false" outlineLevel="0" max="1" min="1" style="1" width="7.87"/>
    <col collapsed="false" customWidth="true" hidden="false" outlineLevel="0" max="2" min="2" style="0" width="15.46"/>
    <col collapsed="false" customWidth="true" hidden="false" outlineLevel="0" max="3" min="3" style="0" width="33.34"/>
    <col collapsed="false" customWidth="true" hidden="false" outlineLevel="0" max="4" min="4" style="1" width="7.87"/>
    <col collapsed="false" customWidth="true" hidden="false" outlineLevel="0" max="5" min="5" style="0" width="13.06"/>
    <col collapsed="false" customWidth="true" hidden="false" outlineLevel="0" max="6" min="6" style="0" width="16.86"/>
    <col collapsed="false" customWidth="true" hidden="false" outlineLevel="0" max="7" min="7" style="0" width="23.38"/>
    <col collapsed="false" customWidth="true" hidden="false" outlineLevel="0" max="8" min="8" style="2" width="26.31"/>
    <col collapsed="false" customWidth="true" hidden="false" outlineLevel="0" max="9" min="9" style="0" width="11.76"/>
    <col collapsed="false" customWidth="true" hidden="false" outlineLevel="0" max="10" min="10" style="0" width="14.21"/>
    <col collapsed="false" customWidth="true" hidden="false" outlineLevel="0" max="11" min="11" style="0" width="6.94"/>
    <col collapsed="false" customWidth="true" hidden="false" outlineLevel="0" max="12" min="12" style="0" width="10.19"/>
    <col collapsed="false" customWidth="true" hidden="false" outlineLevel="0" max="13" min="13" style="0" width="23.06"/>
    <col collapsed="false" customWidth="true" hidden="false" outlineLevel="0" max="15" min="15" style="0" width="8.61"/>
  </cols>
  <sheetData>
    <row r="1" customFormat="false" ht="12.9" hidden="false" customHeight="fals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0" t="s">
        <v>4</v>
      </c>
      <c r="F1" s="3" t="s">
        <v>5</v>
      </c>
      <c r="G1" s="4" t="s">
        <v>6</v>
      </c>
      <c r="H1" s="3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</row>
    <row r="2" customFormat="false" ht="12.8" hidden="false" customHeight="false" outlineLevel="0" collapsed="false">
      <c r="A2" s="1" t="n">
        <v>1</v>
      </c>
      <c r="B2" s="0" t="s">
        <v>15</v>
      </c>
      <c r="C2" s="5" t="s">
        <v>16</v>
      </c>
      <c r="D2" s="1" t="n">
        <v>4</v>
      </c>
      <c r="E2" s="5" t="s">
        <v>17</v>
      </c>
      <c r="F2" s="5" t="s">
        <v>18</v>
      </c>
      <c r="G2" s="0" t="s">
        <v>19</v>
      </c>
      <c r="H2" s="2" t="s">
        <v>20</v>
      </c>
      <c r="I2" s="5" t="s">
        <v>21</v>
      </c>
      <c r="J2" s="6" t="s">
        <v>22</v>
      </c>
      <c r="K2" s="7" t="n">
        <v>0.32</v>
      </c>
      <c r="L2" s="5" t="n">
        <f aca="false">D2*K2</f>
        <v>1.28</v>
      </c>
      <c r="P2" s="5"/>
    </row>
    <row r="3" customFormat="false" ht="12.8" hidden="false" customHeight="false" outlineLevel="0" collapsed="false">
      <c r="A3" s="8" t="n">
        <f aca="false">A2+1</f>
        <v>2</v>
      </c>
      <c r="B3" s="0" t="s">
        <v>23</v>
      </c>
      <c r="C3" s="0" t="s">
        <v>16</v>
      </c>
      <c r="D3" s="1" t="n">
        <v>1</v>
      </c>
      <c r="E3" s="5" t="s">
        <v>17</v>
      </c>
      <c r="F3" s="5" t="s">
        <v>24</v>
      </c>
      <c r="G3" s="0" t="s">
        <v>25</v>
      </c>
      <c r="H3" s="2" t="s">
        <v>26</v>
      </c>
      <c r="I3" s="5" t="s">
        <v>27</v>
      </c>
      <c r="J3" s="6" t="s">
        <v>28</v>
      </c>
      <c r="K3" s="7" t="n">
        <v>0.13</v>
      </c>
      <c r="L3" s="5" t="n">
        <f aca="false">D3*K3</f>
        <v>0.13</v>
      </c>
      <c r="P3" s="5"/>
    </row>
    <row r="4" customFormat="false" ht="12.8" hidden="false" customHeight="false" outlineLevel="0" collapsed="false">
      <c r="A4" s="8" t="n">
        <f aca="false">A3+1</f>
        <v>3</v>
      </c>
      <c r="B4" s="0" t="s">
        <v>29</v>
      </c>
      <c r="C4" s="0" t="s">
        <v>16</v>
      </c>
      <c r="D4" s="1" t="n">
        <v>1</v>
      </c>
      <c r="E4" s="5" t="s">
        <v>17</v>
      </c>
      <c r="F4" s="5" t="s">
        <v>18</v>
      </c>
      <c r="G4" s="0" t="s">
        <v>30</v>
      </c>
      <c r="H4" s="2" t="s">
        <v>31</v>
      </c>
      <c r="I4" s="5" t="s">
        <v>32</v>
      </c>
      <c r="J4" s="6" t="s">
        <v>33</v>
      </c>
      <c r="K4" s="7" t="n">
        <v>0.57</v>
      </c>
      <c r="L4" s="5" t="n">
        <f aca="false">D4*K4</f>
        <v>0.57</v>
      </c>
      <c r="P4" s="5"/>
    </row>
    <row r="5" customFormat="false" ht="12.8" hidden="false" customHeight="false" outlineLevel="0" collapsed="false">
      <c r="A5" s="8" t="n">
        <f aca="false">A4+1</f>
        <v>4</v>
      </c>
      <c r="B5" s="0" t="s">
        <v>34</v>
      </c>
      <c r="C5" s="0" t="s">
        <v>16</v>
      </c>
      <c r="D5" s="1" t="n">
        <v>3</v>
      </c>
      <c r="E5" s="5" t="s">
        <v>17</v>
      </c>
      <c r="F5" s="5" t="s">
        <v>18</v>
      </c>
      <c r="G5" s="0" t="s">
        <v>35</v>
      </c>
      <c r="H5" s="2" t="s">
        <v>36</v>
      </c>
      <c r="I5" s="5" t="s">
        <v>37</v>
      </c>
      <c r="J5" s="6" t="s">
        <v>38</v>
      </c>
      <c r="K5" s="7" t="n">
        <v>0.58</v>
      </c>
      <c r="L5" s="5" t="n">
        <f aca="false">D5*K5</f>
        <v>1.74</v>
      </c>
      <c r="P5" s="5"/>
    </row>
    <row r="6" customFormat="false" ht="12.8" hidden="false" customHeight="false" outlineLevel="0" collapsed="false">
      <c r="A6" s="8" t="n">
        <f aca="false">A5+1</f>
        <v>5</v>
      </c>
      <c r="B6" s="0" t="s">
        <v>39</v>
      </c>
      <c r="C6" s="0" t="s">
        <v>16</v>
      </c>
      <c r="D6" s="1" t="n">
        <v>1</v>
      </c>
      <c r="E6" s="0" t="s">
        <v>17</v>
      </c>
      <c r="F6" s="5" t="s">
        <v>18</v>
      </c>
      <c r="G6" s="0" t="s">
        <v>40</v>
      </c>
      <c r="H6" s="2" t="s">
        <v>41</v>
      </c>
      <c r="I6" s="5" t="s">
        <v>42</v>
      </c>
      <c r="J6" s="6" t="s">
        <v>43</v>
      </c>
      <c r="K6" s="7" t="n">
        <v>0.81</v>
      </c>
      <c r="L6" s="5" t="n">
        <f aca="false">D6*K6</f>
        <v>0.81</v>
      </c>
      <c r="P6" s="5"/>
    </row>
    <row r="7" customFormat="false" ht="12.8" hidden="false" customHeight="false" outlineLevel="0" collapsed="false">
      <c r="A7" s="8" t="n">
        <f aca="false">A6+1</f>
        <v>6</v>
      </c>
      <c r="B7" s="0" t="s">
        <v>44</v>
      </c>
      <c r="C7" s="0" t="s">
        <v>45</v>
      </c>
      <c r="D7" s="1" t="n">
        <v>1</v>
      </c>
      <c r="E7" s="0" t="s">
        <v>46</v>
      </c>
      <c r="F7" s="0" t="s">
        <v>47</v>
      </c>
      <c r="G7" s="5" t="s">
        <v>48</v>
      </c>
      <c r="H7" s="2" t="s">
        <v>48</v>
      </c>
      <c r="I7" s="5" t="s">
        <v>49</v>
      </c>
      <c r="J7" s="6" t="s">
        <v>50</v>
      </c>
      <c r="K7" s="7" t="n">
        <v>0.04</v>
      </c>
      <c r="L7" s="5" t="n">
        <f aca="false">D7*K7</f>
        <v>0.04</v>
      </c>
      <c r="M7" s="0" t="s">
        <v>51</v>
      </c>
      <c r="N7" s="6" t="s">
        <v>52</v>
      </c>
      <c r="O7" s="0" t="n">
        <v>0.1</v>
      </c>
      <c r="P7" s="5"/>
    </row>
    <row r="8" customFormat="false" ht="12.8" hidden="false" customHeight="false" outlineLevel="0" collapsed="false">
      <c r="A8" s="8" t="n">
        <f aca="false">A7+1</f>
        <v>7</v>
      </c>
      <c r="B8" s="0" t="s">
        <v>53</v>
      </c>
      <c r="C8" s="0" t="s">
        <v>54</v>
      </c>
      <c r="D8" s="1" t="n">
        <v>2</v>
      </c>
      <c r="E8" s="0" t="s">
        <v>55</v>
      </c>
      <c r="F8" s="5" t="s">
        <v>56</v>
      </c>
      <c r="G8" s="0" t="s">
        <v>57</v>
      </c>
      <c r="H8" s="2" t="s">
        <v>58</v>
      </c>
      <c r="I8" s="5" t="s">
        <v>59</v>
      </c>
      <c r="J8" s="6" t="s">
        <v>60</v>
      </c>
      <c r="K8" s="7" t="n">
        <v>0.2</v>
      </c>
      <c r="L8" s="5" t="n">
        <f aca="false">D8*K8</f>
        <v>0.4</v>
      </c>
      <c r="M8" s="0" t="s">
        <v>61</v>
      </c>
      <c r="N8" s="6" t="s">
        <v>62</v>
      </c>
      <c r="O8" s="0" t="n">
        <v>0.27</v>
      </c>
      <c r="P8" s="5"/>
    </row>
    <row r="9" customFormat="false" ht="12.8" hidden="false" customHeight="false" outlineLevel="0" collapsed="false">
      <c r="A9" s="8" t="n">
        <f aca="false">A8+1</f>
        <v>8</v>
      </c>
      <c r="B9" s="0" t="s">
        <v>63</v>
      </c>
      <c r="C9" s="0" t="s">
        <v>64</v>
      </c>
      <c r="D9" s="1" t="n">
        <v>1</v>
      </c>
      <c r="E9" s="0" t="s">
        <v>65</v>
      </c>
      <c r="F9" s="0" t="s">
        <v>66</v>
      </c>
      <c r="G9" s="0" t="s">
        <v>67</v>
      </c>
      <c r="H9" s="2" t="s">
        <v>68</v>
      </c>
      <c r="I9" s="5" t="s">
        <v>69</v>
      </c>
      <c r="J9" s="6" t="s">
        <v>70</v>
      </c>
      <c r="K9" s="7" t="n">
        <v>0.45</v>
      </c>
      <c r="L9" s="5" t="n">
        <f aca="false">D9*K9</f>
        <v>0.45</v>
      </c>
      <c r="P9" s="5"/>
    </row>
    <row r="10" customFormat="false" ht="12.8" hidden="false" customHeight="false" outlineLevel="0" collapsed="false">
      <c r="A10" s="8" t="n">
        <f aca="false">A9+1</f>
        <v>9</v>
      </c>
      <c r="B10" s="0" t="s">
        <v>71</v>
      </c>
      <c r="C10" s="0" t="s">
        <v>45</v>
      </c>
      <c r="D10" s="1" t="n">
        <v>2</v>
      </c>
      <c r="E10" s="0" t="s">
        <v>72</v>
      </c>
      <c r="F10" s="0" t="s">
        <v>47</v>
      </c>
      <c r="G10" s="0" t="s">
        <v>73</v>
      </c>
      <c r="H10" s="2" t="s">
        <v>73</v>
      </c>
      <c r="I10" s="5" t="s">
        <v>74</v>
      </c>
      <c r="J10" s="6" t="s">
        <v>75</v>
      </c>
      <c r="K10" s="7" t="n">
        <v>0.56</v>
      </c>
      <c r="L10" s="5" t="n">
        <f aca="false">D10*K10</f>
        <v>1.12</v>
      </c>
      <c r="M10" s="0" t="s">
        <v>76</v>
      </c>
      <c r="N10" s="6" t="s">
        <v>77</v>
      </c>
      <c r="O10" s="0" t="n">
        <v>0.26</v>
      </c>
      <c r="P10" s="5"/>
    </row>
    <row r="11" customFormat="false" ht="12.8" hidden="false" customHeight="false" outlineLevel="0" collapsed="false">
      <c r="A11" s="8" t="n">
        <f aca="false">A10+1</f>
        <v>10</v>
      </c>
      <c r="B11" s="0" t="s">
        <v>78</v>
      </c>
      <c r="C11" s="0" t="s">
        <v>79</v>
      </c>
      <c r="D11" s="1" t="n">
        <v>1</v>
      </c>
      <c r="E11" s="0" t="s">
        <v>80</v>
      </c>
      <c r="F11" s="0" t="s">
        <v>81</v>
      </c>
      <c r="G11" s="5" t="s">
        <v>79</v>
      </c>
      <c r="H11" s="2" t="s">
        <v>79</v>
      </c>
      <c r="I11" s="5" t="s">
        <v>82</v>
      </c>
      <c r="J11" s="6" t="s">
        <v>83</v>
      </c>
      <c r="K11" s="7" t="n">
        <v>1.17</v>
      </c>
      <c r="L11" s="5" t="n">
        <f aca="false">D11*K11</f>
        <v>1.17</v>
      </c>
      <c r="M11" s="0" t="s">
        <v>84</v>
      </c>
      <c r="N11" s="6" t="s">
        <v>85</v>
      </c>
      <c r="O11" s="0" t="n">
        <v>1.25</v>
      </c>
      <c r="P11" s="5"/>
    </row>
    <row r="12" customFormat="false" ht="12.8" hidden="false" customHeight="false" outlineLevel="0" collapsed="false">
      <c r="A12" s="8" t="n">
        <f aca="false">A11+1</f>
        <v>11</v>
      </c>
      <c r="B12" s="0" t="s">
        <v>86</v>
      </c>
      <c r="C12" s="0" t="s">
        <v>87</v>
      </c>
      <c r="D12" s="1" t="n">
        <v>1</v>
      </c>
      <c r="E12" s="5" t="s">
        <v>88</v>
      </c>
      <c r="F12" s="5" t="s">
        <v>89</v>
      </c>
      <c r="G12" s="5" t="s">
        <v>89</v>
      </c>
      <c r="H12" s="2" t="s">
        <v>90</v>
      </c>
      <c r="I12" s="5"/>
      <c r="J12" s="5"/>
      <c r="K12" s="7"/>
      <c r="L12" s="5"/>
      <c r="P12" s="5"/>
    </row>
    <row r="13" customFormat="false" ht="12.8" hidden="false" customHeight="false" outlineLevel="0" collapsed="false">
      <c r="A13" s="8" t="n">
        <f aca="false">A12+1</f>
        <v>12</v>
      </c>
      <c r="B13" s="0" t="s">
        <v>91</v>
      </c>
      <c r="C13" s="0" t="s">
        <v>92</v>
      </c>
      <c r="D13" s="1" t="n">
        <v>1</v>
      </c>
      <c r="E13" s="5" t="s">
        <v>88</v>
      </c>
      <c r="F13" s="0" t="s">
        <v>93</v>
      </c>
      <c r="G13" s="0" t="s">
        <v>94</v>
      </c>
      <c r="H13" s="2" t="s">
        <v>94</v>
      </c>
      <c r="I13" s="5" t="s">
        <v>95</v>
      </c>
      <c r="J13" s="6" t="s">
        <v>96</v>
      </c>
      <c r="K13" s="7" t="n">
        <v>1.31</v>
      </c>
      <c r="L13" s="5" t="n">
        <f aca="false">D13*K13</f>
        <v>1.31</v>
      </c>
      <c r="M13" s="0" t="s">
        <v>97</v>
      </c>
      <c r="N13" s="6" t="s">
        <v>98</v>
      </c>
      <c r="O13" s="0" t="n">
        <v>0.86</v>
      </c>
      <c r="P13" s="5"/>
    </row>
    <row r="14" customFormat="false" ht="12.8" hidden="false" customHeight="false" outlineLevel="0" collapsed="false">
      <c r="A14" s="8" t="n">
        <f aca="false">A13+1</f>
        <v>13</v>
      </c>
      <c r="B14" s="0" t="s">
        <v>99</v>
      </c>
      <c r="C14" s="0" t="s">
        <v>100</v>
      </c>
      <c r="D14" s="1" t="n">
        <v>1</v>
      </c>
      <c r="E14" s="5" t="s">
        <v>88</v>
      </c>
      <c r="F14" s="0" t="s">
        <v>101</v>
      </c>
      <c r="G14" s="5" t="s">
        <v>102</v>
      </c>
      <c r="H14" s="2" t="s">
        <v>103</v>
      </c>
      <c r="I14" s="0" t="s">
        <v>104</v>
      </c>
      <c r="J14" s="9" t="s">
        <v>105</v>
      </c>
      <c r="K14" s="7" t="n">
        <v>0.65</v>
      </c>
      <c r="L14" s="5" t="n">
        <f aca="false">D14*K14</f>
        <v>0.65</v>
      </c>
      <c r="P14" s="5"/>
    </row>
    <row r="15" customFormat="false" ht="12.8" hidden="false" customHeight="false" outlineLevel="0" collapsed="false">
      <c r="A15" s="8" t="n">
        <f aca="false">A14+1</f>
        <v>14</v>
      </c>
      <c r="B15" s="0" t="s">
        <v>106</v>
      </c>
      <c r="C15" s="0" t="s">
        <v>107</v>
      </c>
      <c r="D15" s="1" t="n">
        <v>1</v>
      </c>
      <c r="E15" s="5" t="s">
        <v>88</v>
      </c>
      <c r="F15" s="5" t="s">
        <v>89</v>
      </c>
      <c r="G15" s="5" t="s">
        <v>89</v>
      </c>
      <c r="H15" s="2" t="s">
        <v>108</v>
      </c>
      <c r="I15" s="5"/>
      <c r="J15" s="5"/>
      <c r="K15" s="7"/>
      <c r="L15" s="5"/>
      <c r="P15" s="5"/>
    </row>
    <row r="16" customFormat="false" ht="12.8" hidden="false" customHeight="false" outlineLevel="0" collapsed="false">
      <c r="A16" s="8" t="n">
        <f aca="false">A15+1</f>
        <v>15</v>
      </c>
      <c r="B16" s="0" t="s">
        <v>109</v>
      </c>
      <c r="C16" s="0" t="s">
        <v>110</v>
      </c>
      <c r="D16" s="1" t="n">
        <v>1</v>
      </c>
      <c r="E16" s="5" t="s">
        <v>88</v>
      </c>
      <c r="F16" s="5" t="s">
        <v>89</v>
      </c>
      <c r="G16" s="5" t="s">
        <v>89</v>
      </c>
      <c r="H16" s="0" t="s">
        <v>111</v>
      </c>
      <c r="I16" s="5"/>
      <c r="J16" s="5"/>
      <c r="K16" s="7"/>
      <c r="L16" s="5"/>
      <c r="P16" s="5"/>
    </row>
    <row r="17" customFormat="false" ht="12.8" hidden="false" customHeight="false" outlineLevel="0" collapsed="false">
      <c r="A17" s="8" t="n">
        <f aca="false">A16+1</f>
        <v>16</v>
      </c>
      <c r="B17" s="0" t="s">
        <v>112</v>
      </c>
      <c r="C17" s="0" t="s">
        <v>113</v>
      </c>
      <c r="D17" s="1" t="n">
        <v>1</v>
      </c>
      <c r="E17" s="0" t="s">
        <v>88</v>
      </c>
      <c r="F17" s="5" t="s">
        <v>89</v>
      </c>
      <c r="G17" s="5" t="s">
        <v>89</v>
      </c>
      <c r="H17" s="0" t="s">
        <v>114</v>
      </c>
      <c r="I17" s="5"/>
      <c r="J17" s="5"/>
      <c r="K17" s="7"/>
      <c r="L17" s="5"/>
      <c r="P17" s="5"/>
    </row>
    <row r="18" customFormat="false" ht="12.8" hidden="false" customHeight="false" outlineLevel="0" collapsed="false">
      <c r="A18" s="8" t="n">
        <f aca="false">A17+1</f>
        <v>17</v>
      </c>
      <c r="B18" s="0" t="s">
        <v>115</v>
      </c>
      <c r="C18" s="0" t="s">
        <v>116</v>
      </c>
      <c r="D18" s="1" t="n">
        <v>1</v>
      </c>
      <c r="E18" s="0" t="s">
        <v>117</v>
      </c>
      <c r="F18" s="0" t="s">
        <v>118</v>
      </c>
      <c r="G18" s="5" t="s">
        <v>119</v>
      </c>
      <c r="H18" s="2" t="s">
        <v>119</v>
      </c>
      <c r="I18" s="5" t="s">
        <v>120</v>
      </c>
      <c r="J18" s="6" t="s">
        <v>121</v>
      </c>
      <c r="K18" s="7" t="n">
        <v>0.13</v>
      </c>
      <c r="L18" s="5" t="n">
        <f aca="false">D18*K18</f>
        <v>0.13</v>
      </c>
      <c r="M18" s="0" t="s">
        <v>122</v>
      </c>
      <c r="N18" s="6" t="s">
        <v>123</v>
      </c>
      <c r="O18" s="0" t="n">
        <v>0.25</v>
      </c>
      <c r="P18" s="5"/>
    </row>
    <row r="19" customFormat="false" ht="12.8" hidden="false" customHeight="false" outlineLevel="0" collapsed="false">
      <c r="A19" s="8" t="n">
        <f aca="false">A18+1</f>
        <v>18</v>
      </c>
      <c r="B19" s="0" t="s">
        <v>124</v>
      </c>
      <c r="C19" s="0" t="s">
        <v>125</v>
      </c>
      <c r="D19" s="1" t="n">
        <v>1</v>
      </c>
      <c r="E19" s="5" t="s">
        <v>126</v>
      </c>
      <c r="F19" s="5" t="s">
        <v>24</v>
      </c>
      <c r="G19" s="0" t="s">
        <v>127</v>
      </c>
      <c r="H19" s="2" t="s">
        <v>128</v>
      </c>
      <c r="I19" s="5" t="s">
        <v>129</v>
      </c>
      <c r="J19" s="6" t="s">
        <v>130</v>
      </c>
      <c r="K19" s="7" t="n">
        <v>0.08</v>
      </c>
      <c r="L19" s="5" t="n">
        <f aca="false">D19*K19</f>
        <v>0.08</v>
      </c>
      <c r="P19" s="5"/>
    </row>
    <row r="20" customFormat="false" ht="12.8" hidden="false" customHeight="false" outlineLevel="0" collapsed="false">
      <c r="A20" s="8" t="n">
        <f aca="false">A19+1</f>
        <v>19</v>
      </c>
      <c r="B20" s="0" t="s">
        <v>131</v>
      </c>
      <c r="C20" s="0" t="s">
        <v>125</v>
      </c>
      <c r="D20" s="1" t="n">
        <v>2</v>
      </c>
      <c r="E20" s="5" t="s">
        <v>126</v>
      </c>
      <c r="F20" s="5" t="s">
        <v>24</v>
      </c>
      <c r="G20" s="0" t="s">
        <v>132</v>
      </c>
      <c r="H20" s="2" t="s">
        <v>133</v>
      </c>
      <c r="I20" s="5" t="s">
        <v>134</v>
      </c>
      <c r="J20" s="6" t="s">
        <v>135</v>
      </c>
      <c r="K20" s="7" t="n">
        <v>0.09</v>
      </c>
      <c r="L20" s="5" t="n">
        <f aca="false">D20*K20</f>
        <v>0.18</v>
      </c>
      <c r="P20" s="5"/>
    </row>
    <row r="21" customFormat="false" ht="12.8" hidden="false" customHeight="false" outlineLevel="0" collapsed="false">
      <c r="A21" s="8" t="n">
        <f aca="false">A20+1</f>
        <v>20</v>
      </c>
      <c r="B21" s="0" t="s">
        <v>136</v>
      </c>
      <c r="C21" s="0" t="s">
        <v>125</v>
      </c>
      <c r="D21" s="1" t="n">
        <v>2</v>
      </c>
      <c r="E21" s="0" t="s">
        <v>126</v>
      </c>
      <c r="F21" s="5" t="s">
        <v>24</v>
      </c>
      <c r="G21" s="0" t="s">
        <v>137</v>
      </c>
      <c r="H21" s="2" t="s">
        <v>138</v>
      </c>
      <c r="I21" s="5" t="s">
        <v>139</v>
      </c>
      <c r="J21" s="6" t="s">
        <v>140</v>
      </c>
      <c r="K21" s="7" t="n">
        <v>0.08</v>
      </c>
      <c r="L21" s="5" t="n">
        <f aca="false">D21*K21</f>
        <v>0.16</v>
      </c>
      <c r="P21" s="5"/>
    </row>
    <row r="22" customFormat="false" ht="12.8" hidden="false" customHeight="false" outlineLevel="0" collapsed="false">
      <c r="A22" s="8" t="n">
        <f aca="false">A21+1</f>
        <v>21</v>
      </c>
      <c r="B22" s="0" t="s">
        <v>141</v>
      </c>
      <c r="C22" s="0" t="s">
        <v>125</v>
      </c>
      <c r="D22" s="1" t="n">
        <v>2</v>
      </c>
      <c r="E22" s="5" t="s">
        <v>126</v>
      </c>
      <c r="F22" s="5" t="s">
        <v>24</v>
      </c>
      <c r="G22" s="0" t="s">
        <v>142</v>
      </c>
      <c r="H22" s="2" t="s">
        <v>143</v>
      </c>
      <c r="I22" s="5" t="s">
        <v>144</v>
      </c>
      <c r="J22" s="6" t="s">
        <v>145</v>
      </c>
      <c r="K22" s="7" t="n">
        <v>0.08</v>
      </c>
      <c r="L22" s="5" t="n">
        <f aca="false">D22*K22</f>
        <v>0.16</v>
      </c>
      <c r="P22" s="5"/>
    </row>
    <row r="23" customFormat="false" ht="12.8" hidden="false" customHeight="false" outlineLevel="0" collapsed="false">
      <c r="A23" s="8" t="n">
        <f aca="false">A22+1</f>
        <v>22</v>
      </c>
      <c r="B23" s="0" t="s">
        <v>146</v>
      </c>
      <c r="C23" s="0" t="s">
        <v>125</v>
      </c>
      <c r="D23" s="1" t="n">
        <v>2</v>
      </c>
      <c r="E23" s="5" t="s">
        <v>126</v>
      </c>
      <c r="F23" s="5" t="s">
        <v>24</v>
      </c>
      <c r="G23" s="0" t="s">
        <v>147</v>
      </c>
      <c r="H23" s="2" t="s">
        <v>148</v>
      </c>
      <c r="I23" s="5" t="s">
        <v>149</v>
      </c>
      <c r="J23" s="6" t="s">
        <v>150</v>
      </c>
      <c r="K23" s="7" t="n">
        <v>0.08</v>
      </c>
      <c r="L23" s="5" t="n">
        <f aca="false">D23*K23</f>
        <v>0.16</v>
      </c>
      <c r="P23" s="5"/>
    </row>
    <row r="24" customFormat="false" ht="12.8" hidden="false" customHeight="false" outlineLevel="0" collapsed="false">
      <c r="A24" s="8" t="n">
        <f aca="false">A23+1</f>
        <v>23</v>
      </c>
      <c r="B24" s="0" t="s">
        <v>151</v>
      </c>
      <c r="C24" s="0" t="s">
        <v>152</v>
      </c>
      <c r="D24" s="1" t="n">
        <v>2</v>
      </c>
      <c r="E24" s="0" t="s">
        <v>153</v>
      </c>
      <c r="F24" s="5" t="s">
        <v>154</v>
      </c>
      <c r="G24" s="2" t="s">
        <v>152</v>
      </c>
      <c r="H24" s="2" t="s">
        <v>152</v>
      </c>
      <c r="I24" s="5" t="s">
        <v>155</v>
      </c>
      <c r="J24" s="6" t="s">
        <v>156</v>
      </c>
      <c r="K24" s="7" t="n">
        <v>1.72</v>
      </c>
      <c r="L24" s="5" t="n">
        <f aca="false">D24*K24</f>
        <v>3.44</v>
      </c>
      <c r="M24" s="0" t="s">
        <v>157</v>
      </c>
      <c r="N24" s="6" t="s">
        <v>158</v>
      </c>
      <c r="O24" s="0" t="n">
        <v>0.4</v>
      </c>
      <c r="P24" s="5"/>
    </row>
    <row r="25" customFormat="false" ht="12.9" hidden="false" customHeight="false" outlineLevel="0" collapsed="false">
      <c r="A25" s="8" t="n">
        <f aca="false">A24+1</f>
        <v>24</v>
      </c>
      <c r="B25" s="0" t="s">
        <v>159</v>
      </c>
      <c r="C25" s="0" t="s">
        <v>160</v>
      </c>
      <c r="D25" s="1" t="n">
        <v>1</v>
      </c>
      <c r="E25" s="0" t="s">
        <v>161</v>
      </c>
      <c r="F25" s="0" t="s">
        <v>162</v>
      </c>
      <c r="G25" s="10" t="s">
        <v>163</v>
      </c>
      <c r="H25" s="2" t="s">
        <v>164</v>
      </c>
      <c r="I25" s="10" t="s">
        <v>165</v>
      </c>
      <c r="J25" s="11" t="s">
        <v>166</v>
      </c>
      <c r="K25" s="12" t="n">
        <v>4.77</v>
      </c>
      <c r="L25" s="5" t="n">
        <f aca="false">D25*K25</f>
        <v>4.77</v>
      </c>
      <c r="O25" s="0" t="n">
        <v>5.28</v>
      </c>
      <c r="P25" s="5"/>
    </row>
    <row r="26" customFormat="false" ht="12.8" hidden="false" customHeight="false" outlineLevel="0" collapsed="false">
      <c r="A26" s="8" t="n">
        <f aca="false">A25+1</f>
        <v>25</v>
      </c>
      <c r="B26" s="0" t="s">
        <v>167</v>
      </c>
      <c r="C26" s="0" t="s">
        <v>168</v>
      </c>
      <c r="D26" s="1" t="n">
        <v>2</v>
      </c>
      <c r="E26" s="0" t="s">
        <v>169</v>
      </c>
      <c r="F26" s="0" t="s">
        <v>81</v>
      </c>
      <c r="G26" s="0" t="s">
        <v>170</v>
      </c>
      <c r="H26" s="2" t="s">
        <v>171</v>
      </c>
      <c r="I26" s="5" t="s">
        <v>172</v>
      </c>
      <c r="J26" s="6" t="s">
        <v>173</v>
      </c>
      <c r="K26" s="7" t="n">
        <v>0.88</v>
      </c>
      <c r="L26" s="5" t="n">
        <f aca="false">D26*K26</f>
        <v>1.76</v>
      </c>
      <c r="M26" s="0" t="s">
        <v>174</v>
      </c>
      <c r="N26" s="6" t="s">
        <v>175</v>
      </c>
      <c r="O26" s="0" t="n">
        <v>0.85</v>
      </c>
      <c r="P26" s="5"/>
    </row>
    <row r="27" customFormat="false" ht="12.8" hidden="false" customHeight="false" outlineLevel="0" collapsed="false">
      <c r="A27" s="8" t="n">
        <f aca="false">A26+1</f>
        <v>26</v>
      </c>
      <c r="B27" s="0" t="s">
        <v>176</v>
      </c>
      <c r="C27" s="0" t="s">
        <v>177</v>
      </c>
      <c r="D27" s="1" t="n">
        <v>1</v>
      </c>
      <c r="E27" s="0" t="s">
        <v>178</v>
      </c>
      <c r="F27" s="0" t="s">
        <v>81</v>
      </c>
      <c r="G27" s="0" t="s">
        <v>179</v>
      </c>
      <c r="H27" s="2" t="s">
        <v>180</v>
      </c>
      <c r="I27" s="5" t="s">
        <v>181</v>
      </c>
      <c r="J27" s="6" t="s">
        <v>182</v>
      </c>
      <c r="K27" s="7" t="n">
        <v>0.22</v>
      </c>
      <c r="L27" s="5" t="n">
        <f aca="false">D27*K27</f>
        <v>0.22</v>
      </c>
      <c r="M27" s="0" t="s">
        <v>183</v>
      </c>
      <c r="N27" s="6" t="s">
        <v>184</v>
      </c>
      <c r="O27" s="0" t="n">
        <v>1.52</v>
      </c>
      <c r="P27" s="5"/>
    </row>
    <row r="29" customFormat="false" ht="12.8" hidden="false" customHeight="false" outlineLevel="0" collapsed="false">
      <c r="L29" s="0" t="n">
        <f aca="false">SUM(L2:L27)</f>
        <v>20.73</v>
      </c>
      <c r="P29" s="5"/>
      <c r="Q29" s="5"/>
    </row>
  </sheetData>
  <hyperlinks>
    <hyperlink ref="J2" r:id="rId1" display="https://www.lcsc.com/product-detail/C71687.html?s_z=n_C71687"/>
    <hyperlink ref="J3" r:id="rId2" display="https://www.lcsc.com/product-detail/C541371.html?s_z=n_C541371"/>
    <hyperlink ref="J4" r:id="rId3" display="https://www.lcsc.com/product-detail/C3845593.html?s_z=n_C3845593"/>
    <hyperlink ref="J5" r:id="rId4" display="https://www.lcsc.com/product-detail/C77000.html?s_z=n_C77000"/>
    <hyperlink ref="J6" r:id="rId5" display="https://www.lcsc.com/product-detail/C77004.html?s_z=n_C77004"/>
    <hyperlink ref="J7" r:id="rId6" display="https://www.lcsc.com/product-detail/C111566.html?s_z=n_C111566"/>
    <hyperlink ref="N7" r:id="rId7" display="https://www.mouser.com/ProductDetail/onsemi/ESD9B5.0ST5G?qs=HL4IEvuNMQqfrGPZiLZXfQ%3D%3D"/>
    <hyperlink ref="J8" r:id="rId8" display="https://www.lcsc.com/product-detail/C511042.html?s_z=n_C511042"/>
    <hyperlink ref="N8" r:id="rId9" display="https://www.mouser.com/ProductDetail/Vishay-Semiconductors/VLMB1500-GS08?qs=sGAEpiMZZMusoohG2hS%252B1wnrwteRv1GyZtw3dXGb%252B5U%3D"/>
    <hyperlink ref="J9" r:id="rId10" display="https://www.lcsc.com/product-detail/C965555.html?s_z=n_C965555"/>
    <hyperlink ref="J10" r:id="rId11" display="https://www.lcsc.com/product-detail/C41348159.html?s_z=n_ESD9101P2T5G"/>
    <hyperlink ref="N10" r:id="rId12" display="https://www.mouser.com/ProductDetail/onsemi/ESD9101P2T5G?qs=5aG0NVq1C4ySlMx2D5w2xw%3D%3D"/>
    <hyperlink ref="J11" r:id="rId13" display="https://www.lcsc.com/product-detail/C3189971.html?s_z=n_C3189971"/>
    <hyperlink ref="N11" r:id="rId14" display="https://www.mouser.com/ProductDetail/Texas-Instruments/TPS6282533DMQR?qs=e8oIoAS2J1TctVdod4W0lA%3D%3D"/>
    <hyperlink ref="J13" r:id="rId15" display="https://www.lcsc.com/product-detail/C3445864.html?s_z=n_C3445864"/>
    <hyperlink ref="N13" r:id="rId16" display="https://www.mouser.com/ProductDetail/GCT/USB4120-03-C?qs=KUoIvG%2F9IlZaAd13sVDhkQ%3D%3D"/>
    <hyperlink ref="J14" r:id="rId17" display="https://www"/>
    <hyperlink ref="J18" r:id="rId18" display="https://www.lcsc.com/product-detail/C695609.html?s_z=n_C695609"/>
    <hyperlink ref="N18" r:id="rId19" display="https://www.mouser.com/ProductDetail/TDK/TFM160808ALC-R47MTAA?qs=3SnDZBG9J%252B6tokb499UWsQ%3D%3D"/>
    <hyperlink ref="J19" r:id="rId20" display="https://www.lcsc.com/product-detail/C60491.html?s_z=n_C60491"/>
    <hyperlink ref="J20" r:id="rId21" display="https://www.lcsc.com/product-detail/C114762.html?s_z=n_C114762"/>
    <hyperlink ref="J21" r:id="rId22" display="https://www.lcsc.com/product-detail/C60490.html?s_z=n_C60490"/>
    <hyperlink ref="J22" r:id="rId23" display="https://www.lcsc.com/product-detail/C105871.html?s_z=n_C105871"/>
    <hyperlink ref="J23" r:id="rId24" display="https://www.lcsc.com/product-detail/C105872.html?s_z=n_C105872"/>
    <hyperlink ref="J24" r:id="rId25" display="https://www.lcsc.com/product-detail/C2760981.html?s_z=n_C2760981"/>
    <hyperlink ref="N24" r:id="rId26" display="https://www.mouser.com/ProductDetail/CK/NANOT160AS?qs=OlC7AqGiEDnK60t%2FC6IJyA%3D%3D"/>
    <hyperlink ref="J25" r:id="rId27" display="https://www.lcsc.com/product-detail/C2980299.html?s_z=n_ESP32-S3-MINI"/>
    <hyperlink ref="J26" r:id="rId28" display="https://www.lcsc.com/product-detail/C2869734.html?s_z=n_C2869734"/>
    <hyperlink ref="N26" r:id="rId29" display="https://www.mouser.com/ProductDetail/Texas-Instruments/LM66100DCKT?qs=vLWxofP3U2zoiBCtDTudjw%3D%3D"/>
    <hyperlink ref="J27" r:id="rId30" display="https://www.lcsc.com/product-detail/C99269.html?s_z=n_C99269"/>
    <hyperlink ref="N27" r:id="rId31" display="https://www.mouser.com/ProductDetail/Texas-Instruments/TMP102AQDRLRQ1?qs=asCBFxFfL1SM%2FKfsYcTt1w%3D%3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2026-02-13T07:19:57Z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