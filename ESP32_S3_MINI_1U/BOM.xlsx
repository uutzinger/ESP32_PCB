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<sst xmlns="http://schemas.openxmlformats.org/spreadsheetml/2006/main" count="225" uniqueCount="174">
  <si>
    <t xml:space="preserve">PCBWay BoM</t>
  </si>
  <si>
    <t xml:space="preserve">Item #</t>
  </si>
  <si>
    <r>
      <rPr>
        <sz val="10"/>
        <color rgb="FFFF0000"/>
        <rFont val="Arial"/>
        <family val="2"/>
      </rPr>
      <t xml:space="preserve">*</t>
    </r>
    <r>
      <rPr>
        <b val="true"/>
        <sz val="10"/>
        <rFont val="Arial"/>
        <family val="2"/>
      </rPr>
      <t xml:space="preserve">Designator</t>
    </r>
  </si>
  <si>
    <r>
      <rPr>
        <sz val="10"/>
        <color rgb="FFFF0000"/>
        <rFont val="Arial"/>
        <family val="2"/>
      </rPr>
      <t xml:space="preserve">*</t>
    </r>
    <r>
      <rPr>
        <b val="true"/>
        <sz val="10"/>
        <rFont val="Arial"/>
        <family val="2"/>
      </rPr>
      <t xml:space="preserve">Qty</t>
    </r>
  </si>
  <si>
    <t xml:space="preserve">Manufacturer</t>
  </si>
  <si>
    <r>
      <rPr>
        <sz val="10"/>
        <color rgb="FFFF0000"/>
        <rFont val="Arial"/>
        <family val="2"/>
      </rPr>
      <t xml:space="preserve">*</t>
    </r>
    <r>
      <rPr>
        <b val="true"/>
        <sz val="10"/>
        <rFont val="Arial"/>
        <family val="2"/>
      </rPr>
      <t xml:space="preserve">Mfg Part #</t>
    </r>
  </si>
  <si>
    <t xml:space="preserve">Description / Value</t>
  </si>
  <si>
    <t xml:space="preserve">Vendor Part #</t>
  </si>
  <si>
    <r>
      <rPr>
        <sz val="10"/>
        <color rgb="FFFF0000"/>
        <rFont val="Arial"/>
        <family val="2"/>
      </rPr>
      <t xml:space="preserve">*</t>
    </r>
    <r>
      <rPr>
        <b val="true"/>
        <sz val="10"/>
        <rFont val="Arial"/>
        <family val="2"/>
      </rPr>
      <t xml:space="preserve">Package/Footprint</t>
    </r>
  </si>
  <si>
    <t xml:space="preserve">Category</t>
  </si>
  <si>
    <t xml:space="preserve">Your Instructions / Notes</t>
  </si>
  <si>
    <r>
      <rPr>
        <sz val="10"/>
        <color rgb="FFFF0000"/>
        <rFont val="Arial"/>
        <family val="2"/>
      </rPr>
      <t xml:space="preserve">*</t>
    </r>
    <r>
      <rPr>
        <b val="true"/>
        <sz val="10"/>
        <rFont val="Arial"/>
        <family val="2"/>
      </rPr>
      <t xml:space="preserve">Unit Price(5 sets)</t>
    </r>
  </si>
  <si>
    <r>
      <rPr>
        <sz val="10"/>
        <color rgb="FFFF0000"/>
        <rFont val="Arial"/>
        <family val="2"/>
      </rPr>
      <t xml:space="preserve">*</t>
    </r>
    <r>
      <rPr>
        <b val="true"/>
        <sz val="10"/>
        <rFont val="Arial"/>
        <family val="2"/>
      </rPr>
      <t xml:space="preserve">Total</t>
    </r>
  </si>
  <si>
    <r>
      <rPr>
        <sz val="10"/>
        <color rgb="FFFF0000"/>
        <rFont val="Arial"/>
        <family val="2"/>
      </rPr>
      <t xml:space="preserve">*</t>
    </r>
    <r>
      <rPr>
        <b val="true"/>
        <sz val="10"/>
        <rFont val="Arial"/>
        <family val="2"/>
      </rPr>
      <t xml:space="preserve">Delivery Time</t>
    </r>
  </si>
  <si>
    <r>
      <rPr>
        <sz val="10"/>
        <color rgb="FFFF0000"/>
        <rFont val="Arial"/>
        <family val="2"/>
      </rPr>
      <t xml:space="preserve">*</t>
    </r>
    <r>
      <rPr>
        <b val="true"/>
        <sz val="10"/>
        <rFont val="Arial"/>
        <family val="2"/>
      </rPr>
      <t xml:space="preserve">Actual Purchase Mfg Part #</t>
    </r>
  </si>
  <si>
    <r>
      <rPr>
        <sz val="10"/>
        <color rgb="FFFF0000"/>
        <rFont val="Arial"/>
        <family val="2"/>
      </rPr>
      <t xml:space="preserve">*</t>
    </r>
    <r>
      <rPr>
        <b val="true"/>
        <sz val="10"/>
        <color rgb="FFFF0000"/>
        <rFont val="Arial"/>
        <family val="2"/>
      </rPr>
      <t xml:space="preserve">PCBWay Note</t>
    </r>
  </si>
  <si>
    <t xml:space="preserve">Customer Reply</t>
  </si>
  <si>
    <t xml:space="preserve">C11,C12,C10,C4</t>
  </si>
  <si>
    <t xml:space="preserve">muRata</t>
  </si>
  <si>
    <t xml:space="preserve">GRM155R71A104KA01D</t>
  </si>
  <si>
    <t xml:space="preserve">0u1F</t>
  </si>
  <si>
    <t xml:space="preserve">C71687</t>
  </si>
  <si>
    <t xml:space="preserve">C_0402_1005Metric</t>
  </si>
  <si>
    <t xml:space="preserve">Capacitor</t>
  </si>
  <si>
    <t xml:space="preserve">https://www.lcsc.com/product-detail/C71687.html?s_z=n_C71687</t>
  </si>
  <si>
    <t xml:space="preserve">C14</t>
  </si>
  <si>
    <t xml:space="preserve">YAGEO</t>
  </si>
  <si>
    <t xml:space="preserve">CC0402KRX7R6BB103</t>
  </si>
  <si>
    <t xml:space="preserve">10nF</t>
  </si>
  <si>
    <t xml:space="preserve">C541371</t>
  </si>
  <si>
    <t xml:space="preserve">https://www.lcsc.com/product-detail/C541371.html?s_z=n_C541371</t>
  </si>
  <si>
    <t xml:space="preserve">C3</t>
  </si>
  <si>
    <t xml:space="preserve">GRM158R61A226ME15D</t>
  </si>
  <si>
    <t xml:space="preserve">22uF</t>
  </si>
  <si>
    <t xml:space="preserve">C3845593</t>
  </si>
  <si>
    <t xml:space="preserve">https://www.lcsc.com/product-detail/C3845593.html?s_z=n_C3845593</t>
  </si>
  <si>
    <t xml:space="preserve">C5,C1,C2</t>
  </si>
  <si>
    <t xml:space="preserve">GRM155R61A106ME44D</t>
  </si>
  <si>
    <t xml:space="preserve">10uF</t>
  </si>
  <si>
    <t xml:space="preserve">C77000</t>
  </si>
  <si>
    <t xml:space="preserve">https://www.lcsc.com/product-detail/C77000.html?s_z=n_C77000</t>
  </si>
  <si>
    <t xml:space="preserve">C9</t>
  </si>
  <si>
    <t xml:space="preserve">GRM155R61A475KEAAD</t>
  </si>
  <si>
    <t xml:space="preserve">4u7F</t>
  </si>
  <si>
    <t xml:space="preserve">C77004</t>
  </si>
  <si>
    <t xml:space="preserve">https://www.lcsc.com/product-detail/C77004.html?s_z=n_C77004</t>
  </si>
  <si>
    <t xml:space="preserve">D1</t>
  </si>
  <si>
    <t xml:space="preserve">onSemi</t>
  </si>
  <si>
    <t xml:space="preserve">ESD9B5.0ST5G</t>
  </si>
  <si>
    <r>
      <rPr>
        <sz val="10"/>
        <rFont val="Arial"/>
        <family val="2"/>
      </rPr>
      <t xml:space="preserve">C111566</t>
    </r>
    <r>
      <rPr>
        <sz val="10"/>
        <rFont val="宋体"/>
        <family val="0"/>
        <charset val="134"/>
      </rPr>
      <t xml:space="preserve">『 』</t>
    </r>
    <r>
      <rPr>
        <sz val="10"/>
        <rFont val="Arial"/>
        <family val="2"/>
      </rPr>
      <t xml:space="preserve">863-ESD9B5.0ST5G</t>
    </r>
  </si>
  <si>
    <t xml:space="preserve">D_SOD-923</t>
  </si>
  <si>
    <t xml:space="preserve">V_USB ESD</t>
  </si>
  <si>
    <r>
      <rPr>
        <sz val="10"/>
        <rFont val="Arial"/>
        <family val="2"/>
      </rPr>
      <t xml:space="preserve">https://www.lcsc.com/product-detail/C111566.html?s_z=n_C111566</t>
    </r>
    <r>
      <rPr>
        <sz val="10"/>
        <rFont val="宋体"/>
        <family val="0"/>
        <charset val="134"/>
      </rPr>
      <t xml:space="preserve">『 』</t>
    </r>
    <r>
      <rPr>
        <sz val="10"/>
        <rFont val="Arial"/>
        <family val="2"/>
      </rPr>
      <t xml:space="preserve">https://www.mouser.com/ProductDetail/onsemi/ESD9B5.0ST5G?qs=HL4IEvuNMQqfrGPZiLZXfQ%3D%3D</t>
    </r>
  </si>
  <si>
    <t xml:space="preserve">D4,D5</t>
  </si>
  <si>
    <t xml:space="preserve">Vishay</t>
  </si>
  <si>
    <t xml:space="preserve">VLMB1500-GS08</t>
  </si>
  <si>
    <t xml:space="preserve">LED BLUE</t>
  </si>
  <si>
    <r>
      <rPr>
        <sz val="10"/>
        <rFont val="Arial"/>
        <family val="2"/>
      </rPr>
      <t xml:space="preserve">C511042</t>
    </r>
    <r>
      <rPr>
        <sz val="10"/>
        <rFont val="宋体"/>
        <family val="0"/>
        <charset val="134"/>
      </rPr>
      <t xml:space="preserve">『 』</t>
    </r>
    <r>
      <rPr>
        <sz val="10"/>
        <rFont val="Arial"/>
        <family val="2"/>
      </rPr>
      <t xml:space="preserve">78-VLMB1500-GS08</t>
    </r>
  </si>
  <si>
    <t xml:space="preserve">LED_0402_1005Metric</t>
  </si>
  <si>
    <t xml:space="preserve">LED</t>
  </si>
  <si>
    <r>
      <rPr>
        <sz val="10"/>
        <rFont val="Arial"/>
        <family val="2"/>
      </rPr>
      <t xml:space="preserve">https://www.lcsc.com/product-detail/C511042.html?s_z=n_C511042</t>
    </r>
    <r>
      <rPr>
        <sz val="10"/>
        <rFont val="宋体"/>
        <family val="0"/>
        <charset val="134"/>
      </rPr>
      <t xml:space="preserve">『 』</t>
    </r>
    <r>
      <rPr>
        <sz val="10"/>
        <rFont val="Arial"/>
        <family val="2"/>
      </rPr>
      <t xml:space="preserve">https://www.mouser.com/ProductDetail/Vishay-Semiconductors/VLMB1500-GS08?qs=sGAEpiMZZMusoohG2hS%252B1wnrwteRv1GyZtw3dXGb%252B5U%3D</t>
    </r>
  </si>
  <si>
    <t xml:space="preserve">D6</t>
  </si>
  <si>
    <t xml:space="preserve">Worldsemi</t>
  </si>
  <si>
    <t xml:space="preserve">WS2812B-2020</t>
  </si>
  <si>
    <t xml:space="preserve">WS2812B</t>
  </si>
  <si>
    <t xml:space="preserve">C965555</t>
  </si>
  <si>
    <t xml:space="preserve">WS2812_2020</t>
  </si>
  <si>
    <t xml:space="preserve">RGB LED</t>
  </si>
  <si>
    <t xml:space="preserve">https://www.lcsc.com/product-detail/C965555.html?s_z=n_C965555</t>
  </si>
  <si>
    <t xml:space="preserve">D7,D8</t>
  </si>
  <si>
    <t xml:space="preserve">ESD9101P2T5G</t>
  </si>
  <si>
    <r>
      <rPr>
        <sz val="10"/>
        <rFont val="Arial"/>
        <family val="2"/>
      </rPr>
      <t xml:space="preserve">C41348159</t>
    </r>
    <r>
      <rPr>
        <sz val="10"/>
        <rFont val="宋体"/>
        <family val="0"/>
        <charset val="134"/>
      </rPr>
      <t xml:space="preserve">『 』</t>
    </r>
    <r>
      <rPr>
        <sz val="10"/>
        <rFont val="Arial"/>
        <family val="2"/>
      </rPr>
      <t xml:space="preserve">863-ESD9101P2T5G</t>
    </r>
  </si>
  <si>
    <t xml:space="preserve">USB ESD</t>
  </si>
  <si>
    <r>
      <rPr>
        <sz val="10"/>
        <rFont val="Arial"/>
        <family val="2"/>
      </rPr>
      <t xml:space="preserve">https://www.lcsc.com/product-detail/C41348159.html?s_z=n_ESD9101P2T5G</t>
    </r>
    <r>
      <rPr>
        <sz val="10"/>
        <rFont val="宋体"/>
        <family val="0"/>
        <charset val="134"/>
      </rPr>
      <t xml:space="preserve">『 』</t>
    </r>
    <r>
      <rPr>
        <sz val="10"/>
        <rFont val="Arial"/>
        <family val="2"/>
      </rPr>
      <t xml:space="preserve">https://www.mouser.com/ProductDetail/onsemi/ESD9101P2T5G?qs=5aG0NVq1C4ySlMx2D5w2xw%3D%3D</t>
    </r>
  </si>
  <si>
    <t xml:space="preserve">IC1</t>
  </si>
  <si>
    <t xml:space="preserve">Texas Instruments</t>
  </si>
  <si>
    <t xml:space="preserve">TPS6282533DMQR</t>
  </si>
  <si>
    <r>
      <rPr>
        <sz val="10"/>
        <rFont val="Arial"/>
        <family val="2"/>
      </rPr>
      <t xml:space="preserve">C3189971</t>
    </r>
    <r>
      <rPr>
        <sz val="10"/>
        <rFont val="宋体"/>
        <family val="0"/>
        <charset val="134"/>
      </rPr>
      <t xml:space="preserve">『 』</t>
    </r>
    <r>
      <rPr>
        <sz val="10"/>
        <rFont val="Arial"/>
        <family val="2"/>
      </rPr>
      <t xml:space="preserve">595-TPS6282533DMQR</t>
    </r>
  </si>
  <si>
    <t xml:space="preserve">Volt Regulator</t>
  </si>
  <si>
    <r>
      <rPr>
        <sz val="10"/>
        <rFont val="Arial"/>
        <family val="2"/>
      </rPr>
      <t xml:space="preserve">https://www.lcsc.com/product-detail/C3189971.html?s_z=n_C3189971</t>
    </r>
    <r>
      <rPr>
        <sz val="10"/>
        <rFont val="宋体"/>
        <family val="0"/>
        <charset val="134"/>
      </rPr>
      <t xml:space="preserve">『 』</t>
    </r>
    <r>
      <rPr>
        <sz val="10"/>
        <rFont val="Arial"/>
        <family val="2"/>
      </rPr>
      <t xml:space="preserve">https://www.mouser.com/ProductDetail/Texas-Instruments/TPS6282533DMQR?qs=e8oIoAS2J1TctVdod4W0lA%3D%3D</t>
    </r>
  </si>
  <si>
    <t xml:space="preserve">J1</t>
  </si>
  <si>
    <t xml:space="preserve">Do No Populate</t>
  </si>
  <si>
    <t xml:space="preserve">Castellated_1x07</t>
  </si>
  <si>
    <t xml:space="preserve">Castellated_1x07_P2.54mm_D0.80mm</t>
  </si>
  <si>
    <t xml:space="preserve">Connector</t>
  </si>
  <si>
    <r>
      <rPr>
        <sz val="10"/>
        <color rgb="FFFF0000"/>
        <rFont val="Arial"/>
        <family val="2"/>
      </rPr>
      <t xml:space="preserve">[DNP</t>
    </r>
    <r>
      <rPr>
        <sz val="10"/>
        <color rgb="FFFF0000"/>
        <rFont val="宋体"/>
        <family val="0"/>
        <charset val="134"/>
      </rPr>
      <t xml:space="preserve">不要贴</t>
    </r>
    <r>
      <rPr>
        <sz val="10"/>
        <color rgb="FFFF0000"/>
        <rFont val="Arial"/>
        <family val="2"/>
      </rPr>
      <t xml:space="preserve">];</t>
    </r>
  </si>
  <si>
    <t xml:space="preserve">J2</t>
  </si>
  <si>
    <t xml:space="preserve">GCT</t>
  </si>
  <si>
    <t xml:space="preserve">USB4120-03-C</t>
  </si>
  <si>
    <r>
      <rPr>
        <sz val="10"/>
        <rFont val="Arial"/>
        <family val="2"/>
      </rPr>
      <t xml:space="preserve">C3445864</t>
    </r>
    <r>
      <rPr>
        <sz val="10"/>
        <rFont val="宋体"/>
        <family val="0"/>
        <charset val="134"/>
      </rPr>
      <t xml:space="preserve">『 』</t>
    </r>
    <r>
      <rPr>
        <sz val="10"/>
        <rFont val="Arial"/>
        <family val="2"/>
      </rPr>
      <t xml:space="preserve">640-USB4120-03-C</t>
    </r>
  </si>
  <si>
    <t xml:space="preserve">USB412003C</t>
  </si>
  <si>
    <r>
      <rPr>
        <sz val="10"/>
        <rFont val="Arial"/>
        <family val="2"/>
      </rPr>
      <t xml:space="preserve">https://www.lcsc.com/product-detail/C3445864.html?s_z=n_C3445864</t>
    </r>
    <r>
      <rPr>
        <sz val="10"/>
        <rFont val="宋体"/>
        <family val="0"/>
        <charset val="134"/>
      </rPr>
      <t xml:space="preserve">『 』</t>
    </r>
    <r>
      <rPr>
        <sz val="10"/>
        <rFont val="Arial"/>
        <family val="2"/>
      </rPr>
      <t xml:space="preserve">https://www.mouser.com/ProductDetail/GCT/USB4120-03-C?qs=KUoIvG%2F9IlZaAd13sVDhkQ%3D%3D</t>
    </r>
  </si>
  <si>
    <t xml:space="preserve">J3</t>
  </si>
  <si>
    <t xml:space="preserve">BOOMELE</t>
  </si>
  <si>
    <t xml:space="preserve">1.0T-4P</t>
  </si>
  <si>
    <t xml:space="preserve">Qwiic_Vertical</t>
  </si>
  <si>
    <t xml:space="preserve">C2974722</t>
  </si>
  <si>
    <t xml:space="preserve">JST_1x04_P1.0mm_Vertical_SMD</t>
  </si>
  <si>
    <t xml:space="preserve">https://www.lcsc.com/product-detail/C2974722.html</t>
  </si>
  <si>
    <r>
      <rPr>
        <sz val="10"/>
        <color rgb="FFFF0000"/>
        <rFont val="Arial"/>
        <family val="2"/>
      </rPr>
      <t xml:space="preserve">1.0T-4P</t>
    </r>
    <r>
      <rPr>
        <sz val="10"/>
        <color rgb="FFFF0000"/>
        <rFont val="宋体"/>
        <family val="0"/>
        <charset val="134"/>
      </rPr>
      <t xml:space="preserve">卧贴编带</t>
    </r>
  </si>
  <si>
    <t xml:space="preserve">J4</t>
  </si>
  <si>
    <t xml:space="preserve">Castellated_1x01</t>
  </si>
  <si>
    <t xml:space="preserve">Castellated_1x01_P2.54mm_D0.80mm</t>
  </si>
  <si>
    <t xml:space="preserve">J5</t>
  </si>
  <si>
    <t xml:space="preserve">Castellated_1x13</t>
  </si>
  <si>
    <t xml:space="preserve">Castellated_1x13_P2.54mm_D0.80mm</t>
  </si>
  <si>
    <t xml:space="preserve">J6</t>
  </si>
  <si>
    <t xml:space="preserve">Castellated_1x15</t>
  </si>
  <si>
    <t xml:space="preserve">Castellated_1x15_P2.54mm_D0.80mm</t>
  </si>
  <si>
    <t xml:space="preserve">L1</t>
  </si>
  <si>
    <t xml:space="preserve">TDK</t>
  </si>
  <si>
    <t xml:space="preserve">TFM160808ALC-R47MTAA</t>
  </si>
  <si>
    <r>
      <rPr>
        <sz val="10"/>
        <rFont val="Arial"/>
        <family val="2"/>
      </rPr>
      <t xml:space="preserve">C695609</t>
    </r>
    <r>
      <rPr>
        <sz val="10"/>
        <rFont val="宋体"/>
        <family val="0"/>
        <charset val="134"/>
      </rPr>
      <t xml:space="preserve">『 』</t>
    </r>
    <r>
      <rPr>
        <sz val="10"/>
        <rFont val="Arial"/>
        <family val="2"/>
      </rPr>
      <t xml:space="preserve">810-TFM160808ALCR47A</t>
    </r>
  </si>
  <si>
    <t xml:space="preserve">INDC1608X75N</t>
  </si>
  <si>
    <t xml:space="preserve">Inductor</t>
  </si>
  <si>
    <r>
      <rPr>
        <sz val="10"/>
        <rFont val="Arial"/>
        <family val="2"/>
      </rPr>
      <t xml:space="preserve">https://www.lcsc.com/product-detail/C695609.html?s_z=n_C695609</t>
    </r>
    <r>
      <rPr>
        <sz val="10"/>
        <rFont val="宋体"/>
        <family val="0"/>
        <charset val="134"/>
      </rPr>
      <t xml:space="preserve">『 』</t>
    </r>
    <r>
      <rPr>
        <sz val="10"/>
        <rFont val="Arial"/>
        <family val="2"/>
      </rPr>
      <t xml:space="preserve">https://www.mouser.com/ProductDetail/TDK/TFM160808ALC-R47MTAA?qs=3SnDZBG9J%252B6tokb499UWsQ%3D%3D</t>
    </r>
  </si>
  <si>
    <t xml:space="preserve">R1</t>
  </si>
  <si>
    <t xml:space="preserve">RC0402FR-07100KL</t>
  </si>
  <si>
    <t xml:space="preserve">100k</t>
  </si>
  <si>
    <t xml:space="preserve">C60491</t>
  </si>
  <si>
    <t xml:space="preserve">R_0402_1005Metric</t>
  </si>
  <si>
    <t xml:space="preserve">Resistor</t>
  </si>
  <si>
    <t xml:space="preserve">https://www.lcsc.com/product-detail/C60491.html?s_z=n_C60491</t>
  </si>
  <si>
    <t xml:space="preserve">R12,R11</t>
  </si>
  <si>
    <t xml:space="preserve">RC0402FR-072K2L</t>
  </si>
  <si>
    <t xml:space="preserve">2k2</t>
  </si>
  <si>
    <t xml:space="preserve">C114762</t>
  </si>
  <si>
    <t xml:space="preserve">https://www.lcsc.com/product-detail/C114762.html?s_z=n_C114762</t>
  </si>
  <si>
    <t xml:space="preserve">R13,R17</t>
  </si>
  <si>
    <t xml:space="preserve">RC0402FR-0710KL</t>
  </si>
  <si>
    <t xml:space="preserve">10k</t>
  </si>
  <si>
    <t xml:space="preserve">C60490</t>
  </si>
  <si>
    <t xml:space="preserve">https://www.lcsc.com/product-detail/C60490.html?s_z=n_C60490</t>
  </si>
  <si>
    <t xml:space="preserve">R14,R16</t>
  </si>
  <si>
    <t xml:space="preserve">RC0402FR-074K7L</t>
  </si>
  <si>
    <t xml:space="preserve">4k7</t>
  </si>
  <si>
    <t xml:space="preserve">C105871</t>
  </si>
  <si>
    <t xml:space="preserve">https://www.lcsc.com/product-detail/C105871.html?s_z=n_C105871</t>
  </si>
  <si>
    <t xml:space="preserve">R4,R5</t>
  </si>
  <si>
    <t xml:space="preserve">RC0402FR-075K1L</t>
  </si>
  <si>
    <t xml:space="preserve">5k1</t>
  </si>
  <si>
    <t xml:space="preserve">C105872</t>
  </si>
  <si>
    <t xml:space="preserve">https://www.lcsc.com/product-detail/C105872.html?s_z=n_C105872</t>
  </si>
  <si>
    <t xml:space="preserve">S1,S2</t>
  </si>
  <si>
    <t xml:space="preserve">C&amp;K</t>
  </si>
  <si>
    <t xml:space="preserve">NANOT160AS</t>
  </si>
  <si>
    <r>
      <rPr>
        <sz val="10"/>
        <rFont val="Arial"/>
        <family val="2"/>
      </rPr>
      <t xml:space="preserve">C2760981</t>
    </r>
    <r>
      <rPr>
        <sz val="10"/>
        <rFont val="宋体"/>
        <family val="0"/>
        <charset val="134"/>
      </rPr>
      <t xml:space="preserve">『 』</t>
    </r>
    <r>
      <rPr>
        <sz val="10"/>
        <rFont val="Arial"/>
        <family val="2"/>
      </rPr>
      <t xml:space="preserve">611-NANOT160AS</t>
    </r>
  </si>
  <si>
    <t xml:space="preserve">Micro Switch</t>
  </si>
  <si>
    <r>
      <rPr>
        <sz val="10"/>
        <rFont val="Arial"/>
        <family val="2"/>
      </rPr>
      <t xml:space="preserve">https://www.lcsc.com/product-detail/C2760981.html?s_z=n_C2760981</t>
    </r>
    <r>
      <rPr>
        <sz val="10"/>
        <rFont val="宋体"/>
        <family val="0"/>
        <charset val="134"/>
      </rPr>
      <t xml:space="preserve">『 』</t>
    </r>
    <r>
      <rPr>
        <sz val="10"/>
        <rFont val="Arial"/>
        <family val="2"/>
      </rPr>
      <t xml:space="preserve">https://www.mouser.com/ProductDetail/CK/NANOT160AS?qs=OlC7AqGiEDnK60t%2FC6IJyA%3D%3D</t>
    </r>
  </si>
  <si>
    <t xml:space="preserve">7-10 Workdays</t>
  </si>
  <si>
    <t xml:space="preserve">U1</t>
  </si>
  <si>
    <t xml:space="preserve">Espressif Systems</t>
  </si>
  <si>
    <t xml:space="preserve">ESP32-S3-MINI-1U-N8</t>
  </si>
  <si>
    <t xml:space="preserve">ESP32 S3 Mini 1U 8MB Flash</t>
  </si>
  <si>
    <t xml:space="preserve">C2980299</t>
  </si>
  <si>
    <t xml:space="preserve">ESP32-S2-MINI-1U</t>
  </si>
  <si>
    <t xml:space="preserve">MCU Module</t>
  </si>
  <si>
    <t xml:space="preserve">https://www.lcsc.com/product-detail/C2980299.html?s_z=n_ESP32-S3-MINI</t>
  </si>
  <si>
    <t xml:space="preserve">The quoted part number is [ESP32-S3-MINI-1U-N8], not [ESP32-S2] as specified in description</t>
  </si>
  <si>
    <t xml:space="preserve">U2,U3</t>
  </si>
  <si>
    <t xml:space="preserve">LM66100DCK</t>
  </si>
  <si>
    <t xml:space="preserve">Ideal Diode, Input Polarity Prot.</t>
  </si>
  <si>
    <r>
      <rPr>
        <sz val="10"/>
        <rFont val="Arial"/>
        <family val="2"/>
      </rPr>
      <t xml:space="preserve">C2869734</t>
    </r>
    <r>
      <rPr>
        <sz val="10"/>
        <rFont val="宋体"/>
        <family val="0"/>
        <charset val="134"/>
      </rPr>
      <t xml:space="preserve">『 』</t>
    </r>
    <r>
      <rPr>
        <sz val="10"/>
        <rFont val="Arial"/>
        <family val="2"/>
      </rPr>
      <t xml:space="preserve">595-LM66100DCKT</t>
    </r>
  </si>
  <si>
    <t xml:space="preserve">SOT-363_SC-70-6</t>
  </si>
  <si>
    <t xml:space="preserve">Ideal Diode</t>
  </si>
  <si>
    <r>
      <rPr>
        <sz val="10"/>
        <rFont val="Arial"/>
        <family val="2"/>
      </rPr>
      <t xml:space="preserve">https://www.lcsc.com/product-detail/C2869734.html?s_z=n_C2869734</t>
    </r>
    <r>
      <rPr>
        <sz val="10"/>
        <rFont val="宋体"/>
        <family val="0"/>
        <charset val="134"/>
      </rPr>
      <t xml:space="preserve">『 』</t>
    </r>
    <r>
      <rPr>
        <sz val="10"/>
        <rFont val="Arial"/>
        <family val="2"/>
      </rPr>
      <t xml:space="preserve">https://www.mouser.com/ProductDetail/Texas-Instruments/LM66100DCKT?qs=vLWxofP3U2zoiBCtDTudjw%3D%3D</t>
    </r>
  </si>
  <si>
    <t xml:space="preserve">U4</t>
  </si>
  <si>
    <t xml:space="preserve">TMP112AIDRLR</t>
  </si>
  <si>
    <t xml:space="preserve">TMP112</t>
  </si>
  <si>
    <t xml:space="preserve">C28927</t>
  </si>
  <si>
    <t xml:space="preserve">SOT-563</t>
  </si>
  <si>
    <t xml:space="preserve">Temp Sensor</t>
  </si>
  <si>
    <t xml:space="preserve">https://www.lcsc.com/product-image/C28927.html</t>
  </si>
  <si>
    <t xml:space="preserve">Component Cost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</si>
</sst>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0.000"/>
    <numFmt numFmtId="166" formatCode="\$0.00"/>
  </numFmts>
  <fonts count="14">
    <font>
      <sz val="12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Arial"/>
      <family val="2"/>
    </font>
    <font>
      <sz val="12"/>
      <color rgb="FFFF0000"/>
      <name val="Arial"/>
      <family val="2"/>
    </font>
    <font>
      <b val="true"/>
      <sz val="11"/>
      <name val="Arial"/>
      <family val="2"/>
    </font>
    <font>
      <b val="true"/>
      <sz val="10"/>
      <name val="Arial"/>
      <family val="2"/>
    </font>
    <font>
      <sz val="10"/>
      <color rgb="FFFF0000"/>
      <name val="Arial"/>
      <family val="2"/>
    </font>
    <font>
      <b val="true"/>
      <sz val="10"/>
      <color rgb="FFFF0000"/>
      <name val="Arial"/>
      <family val="2"/>
    </font>
    <font>
      <sz val="10"/>
      <name val="Arial"/>
      <family val="2"/>
    </font>
    <font>
      <sz val="10"/>
      <name val="宋体"/>
      <family val="0"/>
      <charset val="134"/>
    </font>
    <font>
      <sz val="10"/>
      <color rgb="FFFF0000"/>
      <name val="宋体-简"/>
      <family val="0"/>
      <charset val="134"/>
    </font>
    <font>
      <sz val="10"/>
      <color rgb="FFFF0000"/>
      <name val="宋体"/>
      <family val="0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C0C0C0"/>
        <bgColor rgb="FFCCCCFF"/>
      </patternFill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74880</xdr:colOff>
      <xdr:row>0</xdr:row>
      <xdr:rowOff>67320</xdr:rowOff>
    </xdr:from>
    <xdr:to>
      <xdr:col>2</xdr:col>
      <xdr:colOff>171720</xdr:colOff>
      <xdr:row>0</xdr:row>
      <xdr:rowOff>447840</xdr:rowOff>
    </xdr:to>
    <xdr:pic>
      <xdr:nvPicPr>
        <xdr:cNvPr id="0" name="图片 1" descr="pcbway-400x400.jpg"/>
        <xdr:cNvPicPr/>
      </xdr:nvPicPr>
      <xdr:blipFill>
        <a:blip r:embed="rId1"/>
        <a:stretch/>
      </xdr:blipFill>
      <xdr:spPr>
        <a:xfrm>
          <a:off x="74880" y="67320"/>
          <a:ext cx="1510200" cy="3805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W5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16" activeCellId="0" sqref="L16"/>
    </sheetView>
  </sheetViews>
  <sheetFormatPr defaultColWidth="8.99609375" defaultRowHeight="17.6" zeroHeight="false" outlineLevelRow="0" outlineLevelCol="0"/>
  <cols>
    <col collapsed="false" customWidth="true" hidden="false" outlineLevel="0" max="1" min="1" style="1" width="6.24"/>
    <col collapsed="false" customWidth="true" hidden="false" outlineLevel="0" max="2" min="2" style="1" width="10.24"/>
    <col collapsed="false" customWidth="true" hidden="false" outlineLevel="0" max="3" min="3" style="1" width="5.37"/>
    <col collapsed="false" customWidth="true" hidden="false" outlineLevel="0" max="10" min="4" style="2" width="19.18"/>
    <col collapsed="false" customWidth="true" hidden="false" outlineLevel="0" max="11" min="11" style="1" width="17.99"/>
    <col collapsed="false" customWidth="true" hidden="false" outlineLevel="0" max="12" min="12" style="1" width="11.99"/>
    <col collapsed="false" customWidth="true" hidden="false" outlineLevel="0" max="13" min="13" style="1" width="15.99"/>
    <col collapsed="false" customWidth="true" hidden="false" outlineLevel="0" max="14" min="14" style="1" width="25.99"/>
    <col collapsed="false" customWidth="true" hidden="false" outlineLevel="0" max="15" min="15" style="3" width="21.26"/>
    <col collapsed="false" customWidth="true" hidden="false" outlineLevel="0" max="16" min="16" style="1" width="13.99"/>
    <col collapsed="false" customWidth="false" hidden="false" outlineLevel="0" max="257" min="17" style="1" width="8.99"/>
  </cols>
  <sheetData>
    <row r="1" s="2" customFormat="true" ht="39.95" hidden="false" customHeight="true" outlineLevel="0" collapsed="false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customFormat="false" ht="25.6" hidden="false" customHeight="true" outlineLevel="0" collapsed="false">
      <c r="A2" s="5" t="s">
        <v>1</v>
      </c>
      <c r="B2" s="6" t="s">
        <v>2</v>
      </c>
      <c r="C2" s="6" t="s">
        <v>3</v>
      </c>
      <c r="D2" s="5" t="s">
        <v>4</v>
      </c>
      <c r="E2" s="6" t="s">
        <v>5</v>
      </c>
      <c r="F2" s="5" t="s">
        <v>6</v>
      </c>
      <c r="G2" s="5" t="s">
        <v>7</v>
      </c>
      <c r="H2" s="6" t="s">
        <v>8</v>
      </c>
      <c r="I2" s="5" t="s">
        <v>9</v>
      </c>
      <c r="J2" s="5" t="s">
        <v>10</v>
      </c>
      <c r="K2" s="6" t="s">
        <v>11</v>
      </c>
      <c r="L2" s="6" t="s">
        <v>12</v>
      </c>
      <c r="M2" s="6" t="s">
        <v>13</v>
      </c>
      <c r="N2" s="6" t="s">
        <v>14</v>
      </c>
      <c r="O2" s="7" t="s">
        <v>15</v>
      </c>
      <c r="P2" s="8" t="s">
        <v>16</v>
      </c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</row>
    <row r="3" customFormat="false" ht="17.6" hidden="false" customHeight="false" outlineLevel="0" collapsed="false">
      <c r="A3" s="10" t="n">
        <v>1</v>
      </c>
      <c r="B3" s="10" t="s">
        <v>17</v>
      </c>
      <c r="C3" s="10" t="n">
        <v>4</v>
      </c>
      <c r="D3" s="10" t="s">
        <v>18</v>
      </c>
      <c r="E3" s="10" t="s">
        <v>19</v>
      </c>
      <c r="F3" s="10" t="s">
        <v>20</v>
      </c>
      <c r="G3" s="10" t="s">
        <v>21</v>
      </c>
      <c r="H3" s="10" t="s">
        <v>22</v>
      </c>
      <c r="I3" s="10" t="s">
        <v>23</v>
      </c>
      <c r="J3" s="10" t="s">
        <v>24</v>
      </c>
      <c r="K3" s="11" t="n">
        <v>0.063</v>
      </c>
      <c r="L3" s="11" t="n">
        <f aca="false">C3*K3*5</f>
        <v>1.26</v>
      </c>
      <c r="M3" s="10"/>
      <c r="N3" s="12"/>
      <c r="O3" s="7"/>
      <c r="P3" s="10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</row>
    <row r="4" customFormat="false" ht="17.6" hidden="false" customHeight="false" outlineLevel="0" collapsed="false">
      <c r="A4" s="10" t="n">
        <v>2</v>
      </c>
      <c r="B4" s="10" t="s">
        <v>25</v>
      </c>
      <c r="C4" s="10" t="n">
        <v>1</v>
      </c>
      <c r="D4" s="10" t="s">
        <v>26</v>
      </c>
      <c r="E4" s="10" t="s">
        <v>27</v>
      </c>
      <c r="F4" s="10" t="s">
        <v>28</v>
      </c>
      <c r="G4" s="10" t="s">
        <v>29</v>
      </c>
      <c r="H4" s="10" t="s">
        <v>22</v>
      </c>
      <c r="I4" s="10" t="s">
        <v>23</v>
      </c>
      <c r="J4" s="10" t="s">
        <v>30</v>
      </c>
      <c r="K4" s="11" t="n">
        <v>0.126</v>
      </c>
      <c r="L4" s="11" t="n">
        <f aca="false">C4*K4*5</f>
        <v>0.63</v>
      </c>
      <c r="M4" s="10"/>
      <c r="N4" s="12"/>
      <c r="O4" s="7"/>
      <c r="P4" s="10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</row>
    <row r="5" customFormat="false" ht="17.6" hidden="false" customHeight="false" outlineLevel="0" collapsed="false">
      <c r="A5" s="10" t="n">
        <v>3</v>
      </c>
      <c r="B5" s="10" t="s">
        <v>31</v>
      </c>
      <c r="C5" s="10" t="n">
        <v>1</v>
      </c>
      <c r="D5" s="10" t="s">
        <v>18</v>
      </c>
      <c r="E5" s="10" t="s">
        <v>32</v>
      </c>
      <c r="F5" s="10" t="s">
        <v>33</v>
      </c>
      <c r="G5" s="10" t="s">
        <v>34</v>
      </c>
      <c r="H5" s="10" t="s">
        <v>22</v>
      </c>
      <c r="I5" s="10" t="s">
        <v>23</v>
      </c>
      <c r="J5" s="10" t="s">
        <v>35</v>
      </c>
      <c r="K5" s="11" t="n">
        <v>0.263</v>
      </c>
      <c r="L5" s="11" t="n">
        <f aca="false">C5*K5*5</f>
        <v>1.315</v>
      </c>
      <c r="M5" s="10"/>
      <c r="N5" s="12"/>
      <c r="O5" s="7"/>
      <c r="P5" s="10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</row>
    <row r="6" customFormat="false" ht="17.6" hidden="false" customHeight="false" outlineLevel="0" collapsed="false">
      <c r="A6" s="10" t="n">
        <v>4</v>
      </c>
      <c r="B6" s="10" t="s">
        <v>36</v>
      </c>
      <c r="C6" s="10" t="n">
        <v>3</v>
      </c>
      <c r="D6" s="10" t="s">
        <v>18</v>
      </c>
      <c r="E6" s="10" t="s">
        <v>37</v>
      </c>
      <c r="F6" s="10" t="s">
        <v>38</v>
      </c>
      <c r="G6" s="10" t="s">
        <v>39</v>
      </c>
      <c r="H6" s="10" t="s">
        <v>22</v>
      </c>
      <c r="I6" s="10" t="s">
        <v>23</v>
      </c>
      <c r="J6" s="10" t="s">
        <v>40</v>
      </c>
      <c r="K6" s="11" t="n">
        <v>0.123</v>
      </c>
      <c r="L6" s="11" t="n">
        <f aca="false">C6*K6*5</f>
        <v>1.845</v>
      </c>
      <c r="M6" s="10"/>
      <c r="N6" s="12"/>
      <c r="O6" s="7"/>
      <c r="P6" s="10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</row>
    <row r="7" customFormat="false" ht="17.6" hidden="false" customHeight="false" outlineLevel="0" collapsed="false">
      <c r="A7" s="10" t="n">
        <v>5</v>
      </c>
      <c r="B7" s="10" t="s">
        <v>41</v>
      </c>
      <c r="C7" s="10" t="n">
        <v>1</v>
      </c>
      <c r="D7" s="10" t="s">
        <v>18</v>
      </c>
      <c r="E7" s="10" t="s">
        <v>42</v>
      </c>
      <c r="F7" s="10" t="s">
        <v>43</v>
      </c>
      <c r="G7" s="10" t="s">
        <v>44</v>
      </c>
      <c r="H7" s="10" t="s">
        <v>22</v>
      </c>
      <c r="I7" s="10" t="s">
        <v>23</v>
      </c>
      <c r="J7" s="10" t="s">
        <v>45</v>
      </c>
      <c r="K7" s="11" t="n">
        <v>0.158</v>
      </c>
      <c r="L7" s="11" t="n">
        <f aca="false">C7*K7*5</f>
        <v>0.79</v>
      </c>
      <c r="M7" s="10"/>
      <c r="N7" s="12"/>
      <c r="O7" s="7"/>
      <c r="P7" s="10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</row>
    <row r="8" customFormat="false" ht="17.6" hidden="false" customHeight="false" outlineLevel="0" collapsed="false">
      <c r="A8" s="10" t="n">
        <v>6</v>
      </c>
      <c r="B8" s="10" t="s">
        <v>46</v>
      </c>
      <c r="C8" s="10" t="n">
        <v>1</v>
      </c>
      <c r="D8" s="10" t="s">
        <v>47</v>
      </c>
      <c r="E8" s="10" t="s">
        <v>48</v>
      </c>
      <c r="F8" s="10" t="s">
        <v>48</v>
      </c>
      <c r="G8" s="10" t="s">
        <v>49</v>
      </c>
      <c r="H8" s="10" t="s">
        <v>50</v>
      </c>
      <c r="I8" s="10" t="s">
        <v>51</v>
      </c>
      <c r="J8" s="10" t="s">
        <v>52</v>
      </c>
      <c r="K8" s="11" t="n">
        <v>0.212</v>
      </c>
      <c r="L8" s="11" t="n">
        <f aca="false">C8*K8*5</f>
        <v>1.06</v>
      </c>
      <c r="M8" s="10"/>
      <c r="N8" s="12"/>
      <c r="O8" s="7"/>
      <c r="P8" s="10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</row>
    <row r="9" customFormat="false" ht="17.6" hidden="false" customHeight="false" outlineLevel="0" collapsed="false">
      <c r="A9" s="10" t="n">
        <v>7</v>
      </c>
      <c r="B9" s="10" t="s">
        <v>53</v>
      </c>
      <c r="C9" s="10" t="n">
        <v>2</v>
      </c>
      <c r="D9" s="10" t="s">
        <v>54</v>
      </c>
      <c r="E9" s="10" t="s">
        <v>55</v>
      </c>
      <c r="F9" s="10" t="s">
        <v>56</v>
      </c>
      <c r="G9" s="10" t="s">
        <v>57</v>
      </c>
      <c r="H9" s="10" t="s">
        <v>58</v>
      </c>
      <c r="I9" s="10" t="s">
        <v>59</v>
      </c>
      <c r="J9" s="10" t="s">
        <v>60</v>
      </c>
      <c r="K9" s="11" t="n">
        <v>0.419</v>
      </c>
      <c r="L9" s="11" t="n">
        <f aca="false">C9*K9*5</f>
        <v>4.19</v>
      </c>
      <c r="M9" s="10"/>
      <c r="N9" s="12"/>
      <c r="O9" s="7"/>
      <c r="P9" s="10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</row>
    <row r="10" customFormat="false" ht="17.6" hidden="false" customHeight="false" outlineLevel="0" collapsed="false">
      <c r="A10" s="10" t="n">
        <v>8</v>
      </c>
      <c r="B10" s="10" t="s">
        <v>61</v>
      </c>
      <c r="C10" s="10" t="n">
        <v>1</v>
      </c>
      <c r="D10" s="10" t="s">
        <v>62</v>
      </c>
      <c r="E10" s="10" t="s">
        <v>63</v>
      </c>
      <c r="F10" s="10" t="s">
        <v>64</v>
      </c>
      <c r="G10" s="10" t="s">
        <v>65</v>
      </c>
      <c r="H10" s="10" t="s">
        <v>66</v>
      </c>
      <c r="I10" s="10" t="s">
        <v>67</v>
      </c>
      <c r="J10" s="10" t="s">
        <v>68</v>
      </c>
      <c r="K10" s="11" t="n">
        <v>0.119</v>
      </c>
      <c r="L10" s="11" t="n">
        <f aca="false">C10*K10*5</f>
        <v>0.595</v>
      </c>
      <c r="M10" s="10"/>
      <c r="N10" s="12"/>
      <c r="O10" s="13"/>
      <c r="P10" s="10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</row>
    <row r="11" customFormat="false" ht="17.6" hidden="false" customHeight="false" outlineLevel="0" collapsed="false">
      <c r="A11" s="10" t="n">
        <v>9</v>
      </c>
      <c r="B11" s="10" t="s">
        <v>69</v>
      </c>
      <c r="C11" s="10" t="n">
        <v>2</v>
      </c>
      <c r="D11" s="10" t="s">
        <v>47</v>
      </c>
      <c r="E11" s="10" t="s">
        <v>70</v>
      </c>
      <c r="F11" s="10" t="s">
        <v>70</v>
      </c>
      <c r="G11" s="10" t="s">
        <v>71</v>
      </c>
      <c r="H11" s="10" t="s">
        <v>50</v>
      </c>
      <c r="I11" s="10" t="s">
        <v>72</v>
      </c>
      <c r="J11" s="10" t="s">
        <v>73</v>
      </c>
      <c r="K11" s="11" t="n">
        <v>0.066</v>
      </c>
      <c r="L11" s="11" t="n">
        <f aca="false">C11*K11*5</f>
        <v>0.66</v>
      </c>
      <c r="M11" s="10"/>
      <c r="N11" s="12"/>
      <c r="O11" s="7"/>
      <c r="P11" s="10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</row>
    <row r="12" customFormat="false" ht="17.6" hidden="false" customHeight="false" outlineLevel="0" collapsed="false">
      <c r="A12" s="10" t="n">
        <v>10</v>
      </c>
      <c r="B12" s="10" t="s">
        <v>74</v>
      </c>
      <c r="C12" s="10" t="n">
        <v>1</v>
      </c>
      <c r="D12" s="10" t="s">
        <v>75</v>
      </c>
      <c r="E12" s="10" t="s">
        <v>76</v>
      </c>
      <c r="F12" s="10" t="s">
        <v>76</v>
      </c>
      <c r="G12" s="10" t="s">
        <v>77</v>
      </c>
      <c r="H12" s="10" t="s">
        <v>76</v>
      </c>
      <c r="I12" s="10" t="s">
        <v>78</v>
      </c>
      <c r="J12" s="10" t="s">
        <v>79</v>
      </c>
      <c r="K12" s="11" t="n">
        <v>1.811</v>
      </c>
      <c r="L12" s="11" t="n">
        <f aca="false">C12*K12*5</f>
        <v>9.055</v>
      </c>
      <c r="M12" s="10"/>
      <c r="N12" s="12"/>
      <c r="O12" s="7"/>
      <c r="P12" s="10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</row>
    <row r="13" customFormat="false" ht="17.6" hidden="false" customHeight="false" outlineLevel="0" collapsed="false">
      <c r="A13" s="10" t="n">
        <v>11</v>
      </c>
      <c r="B13" s="10" t="s">
        <v>80</v>
      </c>
      <c r="C13" s="10" t="n">
        <v>1</v>
      </c>
      <c r="D13" s="10" t="s">
        <v>81</v>
      </c>
      <c r="E13" s="10" t="s">
        <v>81</v>
      </c>
      <c r="F13" s="10" t="s">
        <v>82</v>
      </c>
      <c r="G13" s="10"/>
      <c r="H13" s="10" t="s">
        <v>83</v>
      </c>
      <c r="I13" s="10" t="s">
        <v>84</v>
      </c>
      <c r="J13" s="10"/>
      <c r="K13" s="11"/>
      <c r="L13" s="11"/>
      <c r="M13" s="10"/>
      <c r="N13" s="12"/>
      <c r="O13" s="7" t="s">
        <v>85</v>
      </c>
      <c r="P13" s="10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</row>
    <row r="14" customFormat="false" ht="17.6" hidden="false" customHeight="false" outlineLevel="0" collapsed="false">
      <c r="A14" s="10" t="n">
        <v>12</v>
      </c>
      <c r="B14" s="10" t="s">
        <v>86</v>
      </c>
      <c r="C14" s="10" t="n">
        <v>1</v>
      </c>
      <c r="D14" s="10" t="s">
        <v>87</v>
      </c>
      <c r="E14" s="10" t="s">
        <v>88</v>
      </c>
      <c r="F14" s="10" t="s">
        <v>88</v>
      </c>
      <c r="G14" s="10" t="s">
        <v>89</v>
      </c>
      <c r="H14" s="10" t="s">
        <v>90</v>
      </c>
      <c r="I14" s="10" t="s">
        <v>84</v>
      </c>
      <c r="J14" s="10" t="s">
        <v>91</v>
      </c>
      <c r="K14" s="11" t="n">
        <v>1.642</v>
      </c>
      <c r="L14" s="11" t="n">
        <f aca="false">C14*K14*5</f>
        <v>8.21</v>
      </c>
      <c r="M14" s="10"/>
      <c r="N14" s="12"/>
      <c r="O14" s="7"/>
      <c r="P14" s="10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</row>
    <row r="15" customFormat="false" ht="17.15" hidden="false" customHeight="false" outlineLevel="0" collapsed="false">
      <c r="A15" s="10" t="n">
        <v>13</v>
      </c>
      <c r="B15" s="10" t="s">
        <v>92</v>
      </c>
      <c r="C15" s="10" t="n">
        <v>1</v>
      </c>
      <c r="D15" s="10" t="s">
        <v>93</v>
      </c>
      <c r="E15" s="10" t="s">
        <v>94</v>
      </c>
      <c r="F15" s="10" t="s">
        <v>95</v>
      </c>
      <c r="G15" s="10" t="s">
        <v>96</v>
      </c>
      <c r="H15" s="10" t="s">
        <v>97</v>
      </c>
      <c r="I15" s="10" t="s">
        <v>84</v>
      </c>
      <c r="J15" s="10" t="s">
        <v>98</v>
      </c>
      <c r="K15" s="11" t="n">
        <v>0.43</v>
      </c>
      <c r="L15" s="11" t="n">
        <f aca="false">C15*K15*5</f>
        <v>2.15</v>
      </c>
      <c r="M15" s="10"/>
      <c r="N15" s="12" t="s">
        <v>99</v>
      </c>
      <c r="O15" s="7"/>
      <c r="P15" s="10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</row>
    <row r="16" customFormat="false" ht="17.6" hidden="false" customHeight="false" outlineLevel="0" collapsed="false">
      <c r="A16" s="10" t="n">
        <v>14</v>
      </c>
      <c r="B16" s="10" t="s">
        <v>100</v>
      </c>
      <c r="C16" s="10" t="n">
        <v>1</v>
      </c>
      <c r="D16" s="10" t="s">
        <v>81</v>
      </c>
      <c r="E16" s="10" t="s">
        <v>81</v>
      </c>
      <c r="F16" s="10" t="s">
        <v>101</v>
      </c>
      <c r="G16" s="10"/>
      <c r="H16" s="10" t="s">
        <v>102</v>
      </c>
      <c r="I16" s="10" t="s">
        <v>84</v>
      </c>
      <c r="J16" s="10"/>
      <c r="K16" s="11"/>
      <c r="L16" s="11"/>
      <c r="M16" s="10"/>
      <c r="N16" s="12"/>
      <c r="O16" s="7" t="s">
        <v>85</v>
      </c>
      <c r="P16" s="10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</row>
    <row r="17" customFormat="false" ht="17.6" hidden="false" customHeight="false" outlineLevel="0" collapsed="false">
      <c r="A17" s="10" t="n">
        <v>15</v>
      </c>
      <c r="B17" s="10" t="s">
        <v>103</v>
      </c>
      <c r="C17" s="10" t="n">
        <v>1</v>
      </c>
      <c r="D17" s="10" t="s">
        <v>81</v>
      </c>
      <c r="E17" s="10" t="s">
        <v>81</v>
      </c>
      <c r="F17" s="10" t="s">
        <v>104</v>
      </c>
      <c r="G17" s="10"/>
      <c r="H17" s="10" t="s">
        <v>105</v>
      </c>
      <c r="I17" s="10" t="s">
        <v>84</v>
      </c>
      <c r="J17" s="10"/>
      <c r="K17" s="11"/>
      <c r="L17" s="11"/>
      <c r="M17" s="10"/>
      <c r="N17" s="12"/>
      <c r="O17" s="7" t="s">
        <v>85</v>
      </c>
      <c r="P17" s="10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</row>
    <row r="18" customFormat="false" ht="17.6" hidden="false" customHeight="false" outlineLevel="0" collapsed="false">
      <c r="A18" s="10" t="n">
        <v>16</v>
      </c>
      <c r="B18" s="10" t="s">
        <v>106</v>
      </c>
      <c r="C18" s="10" t="n">
        <v>1</v>
      </c>
      <c r="D18" s="10" t="s">
        <v>81</v>
      </c>
      <c r="E18" s="10" t="s">
        <v>81</v>
      </c>
      <c r="F18" s="10" t="s">
        <v>107</v>
      </c>
      <c r="G18" s="10"/>
      <c r="H18" s="10" t="s">
        <v>108</v>
      </c>
      <c r="I18" s="10" t="s">
        <v>84</v>
      </c>
      <c r="J18" s="10"/>
      <c r="K18" s="11"/>
      <c r="L18" s="11"/>
      <c r="M18" s="10"/>
      <c r="N18" s="12"/>
      <c r="O18" s="7" t="s">
        <v>85</v>
      </c>
      <c r="P18" s="10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</row>
    <row r="19" customFormat="false" ht="17.6" hidden="false" customHeight="false" outlineLevel="0" collapsed="false">
      <c r="A19" s="10" t="n">
        <v>17</v>
      </c>
      <c r="B19" s="10" t="s">
        <v>109</v>
      </c>
      <c r="C19" s="10" t="n">
        <v>1</v>
      </c>
      <c r="D19" s="10" t="s">
        <v>110</v>
      </c>
      <c r="E19" s="10" t="s">
        <v>111</v>
      </c>
      <c r="F19" s="10" t="s">
        <v>111</v>
      </c>
      <c r="G19" s="10" t="s">
        <v>112</v>
      </c>
      <c r="H19" s="10" t="s">
        <v>113</v>
      </c>
      <c r="I19" s="10" t="s">
        <v>114</v>
      </c>
      <c r="J19" s="10" t="s">
        <v>115</v>
      </c>
      <c r="K19" s="11" t="n">
        <v>0.357</v>
      </c>
      <c r="L19" s="11" t="n">
        <f aca="false">C19*K19*5</f>
        <v>1.785</v>
      </c>
      <c r="M19" s="10"/>
      <c r="N19" s="12"/>
      <c r="O19" s="7"/>
      <c r="P19" s="10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</row>
    <row r="20" customFormat="false" ht="17.6" hidden="false" customHeight="false" outlineLevel="0" collapsed="false">
      <c r="A20" s="10" t="n">
        <v>18</v>
      </c>
      <c r="B20" s="10" t="s">
        <v>116</v>
      </c>
      <c r="C20" s="10" t="n">
        <v>1</v>
      </c>
      <c r="D20" s="10" t="s">
        <v>26</v>
      </c>
      <c r="E20" s="10" t="s">
        <v>117</v>
      </c>
      <c r="F20" s="10" t="s">
        <v>118</v>
      </c>
      <c r="G20" s="10" t="s">
        <v>119</v>
      </c>
      <c r="H20" s="10" t="s">
        <v>120</v>
      </c>
      <c r="I20" s="10" t="s">
        <v>121</v>
      </c>
      <c r="J20" s="10" t="s">
        <v>122</v>
      </c>
      <c r="K20" s="11" t="n">
        <v>0.032</v>
      </c>
      <c r="L20" s="11" t="n">
        <f aca="false">C20*K20*5</f>
        <v>0.16</v>
      </c>
      <c r="M20" s="10"/>
      <c r="N20" s="12"/>
      <c r="O20" s="7"/>
      <c r="P20" s="10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</row>
    <row r="21" customFormat="false" ht="17.6" hidden="false" customHeight="false" outlineLevel="0" collapsed="false">
      <c r="A21" s="10" t="n">
        <v>19</v>
      </c>
      <c r="B21" s="10" t="s">
        <v>123</v>
      </c>
      <c r="C21" s="10" t="n">
        <v>2</v>
      </c>
      <c r="D21" s="10" t="s">
        <v>26</v>
      </c>
      <c r="E21" s="10" t="s">
        <v>124</v>
      </c>
      <c r="F21" s="10" t="s">
        <v>125</v>
      </c>
      <c r="G21" s="10" t="s">
        <v>126</v>
      </c>
      <c r="H21" s="10" t="s">
        <v>120</v>
      </c>
      <c r="I21" s="10" t="s">
        <v>121</v>
      </c>
      <c r="J21" s="10" t="s">
        <v>127</v>
      </c>
      <c r="K21" s="11" t="n">
        <v>0.019</v>
      </c>
      <c r="L21" s="11" t="n">
        <f aca="false">C21*K21*5</f>
        <v>0.19</v>
      </c>
      <c r="M21" s="10"/>
      <c r="N21" s="12"/>
      <c r="O21" s="7"/>
      <c r="P21" s="10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</row>
    <row r="22" customFormat="false" ht="17.6" hidden="false" customHeight="false" outlineLevel="0" collapsed="false">
      <c r="A22" s="10" t="n">
        <v>20</v>
      </c>
      <c r="B22" s="10" t="s">
        <v>128</v>
      </c>
      <c r="C22" s="10" t="n">
        <v>2</v>
      </c>
      <c r="D22" s="10" t="s">
        <v>26</v>
      </c>
      <c r="E22" s="10" t="s">
        <v>129</v>
      </c>
      <c r="F22" s="10" t="s">
        <v>130</v>
      </c>
      <c r="G22" s="10" t="s">
        <v>131</v>
      </c>
      <c r="H22" s="10" t="s">
        <v>120</v>
      </c>
      <c r="I22" s="10" t="s">
        <v>121</v>
      </c>
      <c r="J22" s="10" t="s">
        <v>132</v>
      </c>
      <c r="K22" s="11" t="n">
        <v>0.019</v>
      </c>
      <c r="L22" s="11" t="n">
        <f aca="false">C22*K22*5</f>
        <v>0.19</v>
      </c>
      <c r="M22" s="10"/>
      <c r="N22" s="12"/>
      <c r="O22" s="7"/>
      <c r="P22" s="10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</row>
    <row r="23" customFormat="false" ht="17.6" hidden="false" customHeight="false" outlineLevel="0" collapsed="false">
      <c r="A23" s="10" t="n">
        <v>21</v>
      </c>
      <c r="B23" s="10" t="s">
        <v>133</v>
      </c>
      <c r="C23" s="10" t="n">
        <v>2</v>
      </c>
      <c r="D23" s="10" t="s">
        <v>26</v>
      </c>
      <c r="E23" s="10" t="s">
        <v>134</v>
      </c>
      <c r="F23" s="10" t="s">
        <v>135</v>
      </c>
      <c r="G23" s="10" t="s">
        <v>136</v>
      </c>
      <c r="H23" s="10" t="s">
        <v>120</v>
      </c>
      <c r="I23" s="10" t="s">
        <v>121</v>
      </c>
      <c r="J23" s="10" t="s">
        <v>137</v>
      </c>
      <c r="K23" s="11" t="n">
        <v>0.019</v>
      </c>
      <c r="L23" s="11" t="n">
        <f aca="false">C23*K23*5</f>
        <v>0.19</v>
      </c>
      <c r="M23" s="10"/>
      <c r="N23" s="12"/>
      <c r="O23" s="7"/>
      <c r="P23" s="10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</row>
    <row r="24" customFormat="false" ht="17.6" hidden="false" customHeight="false" outlineLevel="0" collapsed="false">
      <c r="A24" s="10" t="n">
        <v>22</v>
      </c>
      <c r="B24" s="10" t="s">
        <v>138</v>
      </c>
      <c r="C24" s="10" t="n">
        <v>2</v>
      </c>
      <c r="D24" s="10" t="s">
        <v>26</v>
      </c>
      <c r="E24" s="10" t="s">
        <v>139</v>
      </c>
      <c r="F24" s="10" t="s">
        <v>140</v>
      </c>
      <c r="G24" s="10" t="s">
        <v>141</v>
      </c>
      <c r="H24" s="10" t="s">
        <v>120</v>
      </c>
      <c r="I24" s="10" t="s">
        <v>121</v>
      </c>
      <c r="J24" s="10" t="s">
        <v>142</v>
      </c>
      <c r="K24" s="11" t="n">
        <v>0.019</v>
      </c>
      <c r="L24" s="11" t="n">
        <f aca="false">C24*K24*5</f>
        <v>0.19</v>
      </c>
      <c r="M24" s="10"/>
      <c r="N24" s="12"/>
      <c r="O24" s="7"/>
      <c r="P24" s="10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</row>
    <row r="25" customFormat="false" ht="17.6" hidden="false" customHeight="false" outlineLevel="0" collapsed="false">
      <c r="A25" s="10" t="n">
        <v>23</v>
      </c>
      <c r="B25" s="10" t="s">
        <v>143</v>
      </c>
      <c r="C25" s="10" t="n">
        <v>2</v>
      </c>
      <c r="D25" s="10" t="s">
        <v>144</v>
      </c>
      <c r="E25" s="10" t="s">
        <v>145</v>
      </c>
      <c r="F25" s="10" t="s">
        <v>145</v>
      </c>
      <c r="G25" s="10" t="s">
        <v>146</v>
      </c>
      <c r="H25" s="10" t="s">
        <v>145</v>
      </c>
      <c r="I25" s="10" t="s">
        <v>147</v>
      </c>
      <c r="J25" s="10" t="s">
        <v>148</v>
      </c>
      <c r="K25" s="11" t="n">
        <v>0.686</v>
      </c>
      <c r="L25" s="11" t="n">
        <f aca="false">C25*K25*5</f>
        <v>6.86</v>
      </c>
      <c r="M25" s="10" t="s">
        <v>149</v>
      </c>
      <c r="N25" s="12"/>
      <c r="O25" s="7"/>
      <c r="P25" s="10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</row>
    <row r="26" customFormat="false" ht="61" hidden="false" customHeight="false" outlineLevel="0" collapsed="false">
      <c r="A26" s="10" t="n">
        <v>24</v>
      </c>
      <c r="B26" s="10" t="s">
        <v>150</v>
      </c>
      <c r="C26" s="10" t="n">
        <v>1</v>
      </c>
      <c r="D26" s="10" t="s">
        <v>151</v>
      </c>
      <c r="E26" s="10" t="s">
        <v>152</v>
      </c>
      <c r="F26" s="10" t="s">
        <v>153</v>
      </c>
      <c r="G26" s="10" t="s">
        <v>154</v>
      </c>
      <c r="H26" s="10" t="s">
        <v>155</v>
      </c>
      <c r="I26" s="10" t="s">
        <v>156</v>
      </c>
      <c r="J26" s="10" t="s">
        <v>157</v>
      </c>
      <c r="K26" s="11" t="n">
        <v>6.883</v>
      </c>
      <c r="L26" s="11" t="n">
        <f aca="false">C26*K26*5</f>
        <v>34.415</v>
      </c>
      <c r="M26" s="10"/>
      <c r="N26" s="12"/>
      <c r="O26" s="7" t="s">
        <v>158</v>
      </c>
      <c r="P26" s="10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</row>
    <row r="27" customFormat="false" ht="17.6" hidden="false" customHeight="false" outlineLevel="0" collapsed="false">
      <c r="A27" s="10" t="n">
        <v>25</v>
      </c>
      <c r="B27" s="10" t="s">
        <v>159</v>
      </c>
      <c r="C27" s="10" t="n">
        <v>2</v>
      </c>
      <c r="D27" s="10" t="s">
        <v>75</v>
      </c>
      <c r="E27" s="10" t="s">
        <v>160</v>
      </c>
      <c r="F27" s="10" t="s">
        <v>161</v>
      </c>
      <c r="G27" s="10" t="s">
        <v>162</v>
      </c>
      <c r="H27" s="10" t="s">
        <v>163</v>
      </c>
      <c r="I27" s="10" t="s">
        <v>164</v>
      </c>
      <c r="J27" s="10" t="s">
        <v>165</v>
      </c>
      <c r="K27" s="11" t="n">
        <v>0.221</v>
      </c>
      <c r="L27" s="11" t="n">
        <f aca="false">C27*K27*5</f>
        <v>2.21</v>
      </c>
      <c r="M27" s="10"/>
      <c r="N27" s="12"/>
      <c r="O27" s="7"/>
      <c r="P27" s="10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</row>
    <row r="28" customFormat="false" ht="17.15" hidden="false" customHeight="false" outlineLevel="0" collapsed="false">
      <c r="A28" s="10" t="n">
        <v>26</v>
      </c>
      <c r="B28" s="10" t="s">
        <v>166</v>
      </c>
      <c r="C28" s="10" t="n">
        <v>1</v>
      </c>
      <c r="D28" s="10" t="s">
        <v>75</v>
      </c>
      <c r="E28" s="10" t="s">
        <v>167</v>
      </c>
      <c r="F28" s="10" t="s">
        <v>168</v>
      </c>
      <c r="G28" s="10" t="s">
        <v>169</v>
      </c>
      <c r="H28" s="10" t="s">
        <v>170</v>
      </c>
      <c r="I28" s="10" t="s">
        <v>171</v>
      </c>
      <c r="J28" s="10" t="s">
        <v>172</v>
      </c>
      <c r="K28" s="11" t="n">
        <v>1.65</v>
      </c>
      <c r="L28" s="11" t="n">
        <f aca="false">C28*K28*5</f>
        <v>8.25</v>
      </c>
      <c r="M28" s="10"/>
      <c r="N28" s="12"/>
      <c r="O28" s="7"/>
      <c r="P28" s="10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</row>
    <row r="29" customFormat="false" ht="17.6" hidden="false" customHeight="false" outlineLevel="0" collapsed="false">
      <c r="A29" s="9"/>
      <c r="B29" s="9"/>
      <c r="C29" s="9"/>
      <c r="D29" s="9"/>
      <c r="E29" s="9"/>
      <c r="F29" s="9"/>
      <c r="G29" s="9"/>
      <c r="H29" s="9"/>
      <c r="I29" s="9"/>
      <c r="J29" s="9"/>
      <c r="K29" s="10" t="s">
        <v>173</v>
      </c>
      <c r="L29" s="14" t="n">
        <f aca="false">SUM(L3:L28)</f>
        <v>86.2</v>
      </c>
      <c r="M29" s="9"/>
      <c r="N29" s="9"/>
      <c r="O29" s="15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</row>
    <row r="30" customFormat="false" ht="17" hidden="false" customHeight="false" outlineLevel="0" collapsed="false">
      <c r="A30" s="9"/>
      <c r="B30" s="9"/>
      <c r="C30" s="9"/>
      <c r="D30" s="9"/>
      <c r="E30" s="9"/>
      <c r="F30" s="9"/>
      <c r="G30" s="16"/>
      <c r="H30" s="9"/>
      <c r="I30" s="9"/>
      <c r="J30" s="9"/>
      <c r="K30" s="9"/>
      <c r="L30" s="9"/>
      <c r="M30" s="9"/>
      <c r="N30" s="9"/>
      <c r="O30" s="15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</row>
    <row r="31" customFormat="false" ht="17" hidden="false" customHeight="false" outlineLevel="0" collapsed="false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15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</row>
    <row r="32" customFormat="false" ht="17.6" hidden="false" customHeight="false" outlineLevel="0" collapsed="false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15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</row>
    <row r="33" customFormat="false" ht="17.6" hidden="false" customHeight="false" outlineLevel="0" collapsed="false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15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</row>
    <row r="34" customFormat="false" ht="17.6" hidden="false" customHeight="false" outlineLevel="0" collapsed="false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15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</row>
    <row r="35" customFormat="false" ht="17.6" hidden="false" customHeight="false" outlineLevel="0" collapsed="false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15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</row>
    <row r="36" customFormat="false" ht="17.6" hidden="false" customHeight="false" outlineLevel="0" collapsed="false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15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</row>
    <row r="37" customFormat="false" ht="17.6" hidden="false" customHeight="false" outlineLevel="0" collapsed="false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15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</row>
    <row r="38" customFormat="false" ht="17.6" hidden="false" customHeight="false" outlineLevel="0" collapsed="false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15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</row>
    <row r="39" customFormat="false" ht="17.6" hidden="false" customHeight="false" outlineLevel="0" collapsed="false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15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</row>
    <row r="40" customFormat="false" ht="17.6" hidden="false" customHeight="false" outlineLevel="0" collapsed="false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15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</row>
    <row r="41" customFormat="false" ht="17.6" hidden="false" customHeight="false" outlineLevel="0" collapsed="false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15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</row>
    <row r="42" customFormat="false" ht="17.6" hidden="false" customHeight="false" outlineLevel="0" collapsed="false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15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</row>
    <row r="43" customFormat="false" ht="17.6" hidden="false" customHeight="false" outlineLevel="0" collapsed="false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15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</row>
    <row r="44" customFormat="false" ht="17.6" hidden="false" customHeight="false" outlineLevel="0" collapsed="false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15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</row>
    <row r="45" customFormat="false" ht="17.6" hidden="false" customHeight="false" outlineLevel="0" collapsed="false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15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</row>
    <row r="46" customFormat="false" ht="17.6" hidden="false" customHeight="false" outlineLevel="0" collapsed="false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15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</row>
    <row r="47" customFormat="false" ht="17.6" hidden="false" customHeight="false" outlineLevel="0" collapsed="false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15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</row>
    <row r="48" customFormat="false" ht="17.6" hidden="false" customHeight="false" outlineLevel="0" collapsed="false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15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</row>
    <row r="49" customFormat="false" ht="17.6" hidden="false" customHeight="false" outlineLevel="0" collapsed="false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15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</row>
    <row r="50" customFormat="false" ht="17.6" hidden="false" customHeight="false" outlineLevel="0" collapsed="false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15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</row>
    <row r="51" customFormat="false" ht="17.6" hidden="false" customHeight="false" outlineLevel="0" collapsed="false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15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</row>
    <row r="52" customFormat="false" ht="17.6" hidden="false" customHeight="false" outlineLevel="0" collapsed="false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15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</row>
    <row r="53" customFormat="false" ht="17.6" hidden="false" customHeight="false" outlineLevel="0" collapsed="false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15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</row>
    <row r="54" customFormat="false" ht="17.6" hidden="false" customHeight="false" outlineLevel="0" collapsed="false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15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</row>
    <row r="55" customFormat="false" ht="17.6" hidden="false" customHeight="false" outlineLevel="0" collapsed="false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15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</row>
    <row r="56" customFormat="false" ht="17.6" hidden="false" customHeight="false" outlineLevel="0" collapsed="false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15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</row>
    <row r="57" customFormat="false" ht="17.6" hidden="false" customHeight="false" outlineLevel="0" collapsed="false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15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</row>
    <row r="58" customFormat="false" ht="17.6" hidden="false" customHeight="false" outlineLevel="0" collapsed="false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15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</row>
    <row r="59" customFormat="false" ht="17.6" hidden="false" customHeight="false" outlineLevel="0" collapsed="false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15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</row>
    <row r="60" customFormat="false" ht="17.6" hidden="false" customHeight="false" outlineLevel="0" collapsed="false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15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</row>
    <row r="61" customFormat="false" ht="17.6" hidden="false" customHeight="false" outlineLevel="0" collapsed="false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15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</row>
    <row r="62" customFormat="false" ht="17.6" hidden="false" customHeight="false" outlineLevel="0" collapsed="false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15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</row>
    <row r="63" customFormat="false" ht="17.6" hidden="false" customHeight="false" outlineLevel="0" collapsed="false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15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</row>
    <row r="64" customFormat="false" ht="17.6" hidden="false" customHeight="false" outlineLevel="0" collapsed="false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15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</row>
    <row r="65" customFormat="false" ht="17.6" hidden="false" customHeight="false" outlineLevel="0" collapsed="false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15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</row>
    <row r="66" customFormat="false" ht="17.6" hidden="false" customHeight="false" outlineLevel="0" collapsed="false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15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</row>
    <row r="67" customFormat="false" ht="17.6" hidden="false" customHeight="false" outlineLevel="0" collapsed="false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15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</row>
    <row r="68" customFormat="false" ht="17.6" hidden="false" customHeight="false" outlineLevel="0" collapsed="false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15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</row>
    <row r="69" customFormat="false" ht="17.6" hidden="false" customHeight="false" outlineLevel="0" collapsed="false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15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</row>
    <row r="70" customFormat="false" ht="17.6" hidden="false" customHeight="false" outlineLevel="0" collapsed="false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15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</row>
    <row r="71" customFormat="false" ht="17.6" hidden="false" customHeight="false" outlineLevel="0" collapsed="false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15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</row>
    <row r="72" customFormat="false" ht="17.6" hidden="false" customHeight="false" outlineLevel="0" collapsed="false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15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</row>
    <row r="73" customFormat="false" ht="17.6" hidden="false" customHeight="false" outlineLevel="0" collapsed="false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15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</row>
    <row r="74" customFormat="false" ht="17.6" hidden="false" customHeight="false" outlineLevel="0" collapsed="false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15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</row>
    <row r="75" customFormat="false" ht="17.6" hidden="false" customHeight="false" outlineLevel="0" collapsed="false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15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</row>
    <row r="76" customFormat="false" ht="17.6" hidden="false" customHeight="false" outlineLevel="0" collapsed="false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15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</row>
    <row r="77" customFormat="false" ht="17.6" hidden="false" customHeight="false" outlineLevel="0" collapsed="false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15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</row>
    <row r="78" customFormat="false" ht="17.6" hidden="false" customHeight="false" outlineLevel="0" collapsed="false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15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</row>
    <row r="79" customFormat="false" ht="17.6" hidden="false" customHeight="false" outlineLevel="0" collapsed="false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15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</row>
    <row r="80" customFormat="false" ht="17.6" hidden="false" customHeight="false" outlineLevel="0" collapsed="false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15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</row>
    <row r="81" customFormat="false" ht="17.6" hidden="false" customHeight="false" outlineLevel="0" collapsed="false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15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</row>
    <row r="82" customFormat="false" ht="17.6" hidden="false" customHeight="false" outlineLevel="0" collapsed="false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15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</row>
    <row r="83" customFormat="false" ht="17.6" hidden="false" customHeight="false" outlineLevel="0" collapsed="false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15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</row>
    <row r="84" customFormat="false" ht="17.6" hidden="false" customHeight="false" outlineLevel="0" collapsed="false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15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</row>
    <row r="85" customFormat="false" ht="17.6" hidden="false" customHeight="false" outlineLevel="0" collapsed="false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15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</row>
    <row r="86" customFormat="false" ht="17.6" hidden="false" customHeight="false" outlineLevel="0" collapsed="false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15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</row>
    <row r="87" customFormat="false" ht="17.6" hidden="false" customHeight="false" outlineLevel="0" collapsed="false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15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</row>
    <row r="88" customFormat="false" ht="17.6" hidden="false" customHeight="false" outlineLevel="0" collapsed="false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15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</row>
    <row r="89" customFormat="false" ht="17.6" hidden="false" customHeight="false" outlineLevel="0" collapsed="false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15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</row>
    <row r="90" customFormat="false" ht="17.6" hidden="false" customHeight="false" outlineLevel="0" collapsed="false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15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</row>
    <row r="91" customFormat="false" ht="17.6" hidden="false" customHeight="false" outlineLevel="0" collapsed="false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15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</row>
    <row r="92" customFormat="false" ht="17.6" hidden="false" customHeight="false" outlineLevel="0" collapsed="false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15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</row>
    <row r="93" customFormat="false" ht="17.6" hidden="false" customHeight="false" outlineLevel="0" collapsed="false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15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</row>
    <row r="94" customFormat="false" ht="17.6" hidden="false" customHeight="false" outlineLevel="0" collapsed="false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15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</row>
    <row r="95" customFormat="false" ht="17.6" hidden="false" customHeight="false" outlineLevel="0" collapsed="false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15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</row>
    <row r="96" customFormat="false" ht="17.6" hidden="false" customHeight="false" outlineLevel="0" collapsed="false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15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</row>
    <row r="97" customFormat="false" ht="17.6" hidden="false" customHeight="false" outlineLevel="0" collapsed="false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15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</row>
    <row r="98" customFormat="false" ht="17.6" hidden="false" customHeight="false" outlineLevel="0" collapsed="false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15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</row>
    <row r="99" customFormat="false" ht="17.6" hidden="false" customHeight="false" outlineLevel="0" collapsed="false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15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</row>
    <row r="100" customFormat="false" ht="17.6" hidden="false" customHeight="false" outlineLevel="0" collapsed="false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15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</row>
    <row r="101" customFormat="false" ht="17.6" hidden="false" customHeight="false" outlineLevel="0" collapsed="false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15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</row>
    <row r="102" customFormat="false" ht="17.6" hidden="false" customHeight="false" outlineLevel="0" collapsed="false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15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</row>
    <row r="103" customFormat="false" ht="17.6" hidden="false" customHeight="false" outlineLevel="0" collapsed="false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15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</row>
    <row r="104" customFormat="false" ht="17.6" hidden="false" customHeight="false" outlineLevel="0" collapsed="false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15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</row>
    <row r="105" customFormat="false" ht="17.6" hidden="false" customHeight="false" outlineLevel="0" collapsed="false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15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</row>
    <row r="106" customFormat="false" ht="17.6" hidden="false" customHeight="false" outlineLevel="0" collapsed="false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15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</row>
    <row r="107" customFormat="false" ht="17.6" hidden="false" customHeight="false" outlineLevel="0" collapsed="false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15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</row>
    <row r="108" customFormat="false" ht="17.6" hidden="false" customHeight="false" outlineLevel="0" collapsed="false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15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</row>
    <row r="109" customFormat="false" ht="17.6" hidden="false" customHeight="false" outlineLevel="0" collapsed="false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15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</row>
    <row r="110" customFormat="false" ht="17.6" hidden="false" customHeight="false" outlineLevel="0" collapsed="false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15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</row>
    <row r="111" customFormat="false" ht="17.6" hidden="false" customHeight="false" outlineLevel="0" collapsed="false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15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</row>
    <row r="112" customFormat="false" ht="17.6" hidden="false" customHeight="false" outlineLevel="0" collapsed="false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15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</row>
    <row r="113" customFormat="false" ht="17.6" hidden="false" customHeight="false" outlineLevel="0" collapsed="false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15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</row>
    <row r="114" customFormat="false" ht="17.6" hidden="false" customHeight="false" outlineLevel="0" collapsed="false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15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</row>
    <row r="115" customFormat="false" ht="17.6" hidden="false" customHeight="false" outlineLevel="0" collapsed="false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15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</row>
    <row r="116" customFormat="false" ht="17.6" hidden="false" customHeight="false" outlineLevel="0" collapsed="false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15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</row>
    <row r="117" customFormat="false" ht="17.6" hidden="false" customHeight="false" outlineLevel="0" collapsed="false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15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</row>
    <row r="118" customFormat="false" ht="17.6" hidden="false" customHeight="false" outlineLevel="0" collapsed="false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15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</row>
    <row r="119" customFormat="false" ht="17.6" hidden="false" customHeight="false" outlineLevel="0" collapsed="false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15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</row>
    <row r="120" customFormat="false" ht="17.6" hidden="false" customHeight="false" outlineLevel="0" collapsed="false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15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</row>
    <row r="121" customFormat="false" ht="17.6" hidden="false" customHeight="false" outlineLevel="0" collapsed="false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15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</row>
    <row r="122" customFormat="false" ht="17.6" hidden="false" customHeight="false" outlineLevel="0" collapsed="false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15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</row>
    <row r="123" customFormat="false" ht="17.6" hidden="false" customHeight="false" outlineLevel="0" collapsed="false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15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</row>
    <row r="124" customFormat="false" ht="17.6" hidden="false" customHeight="false" outlineLevel="0" collapsed="false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15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</row>
    <row r="125" customFormat="false" ht="17.6" hidden="false" customHeight="false" outlineLevel="0" collapsed="false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15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</row>
    <row r="126" customFormat="false" ht="17.6" hidden="false" customHeight="false" outlineLevel="0" collapsed="false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15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</row>
    <row r="127" customFormat="false" ht="17.6" hidden="false" customHeight="false" outlineLevel="0" collapsed="false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15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</row>
    <row r="128" customFormat="false" ht="17.6" hidden="false" customHeight="false" outlineLevel="0" collapsed="false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15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</row>
    <row r="129" customFormat="false" ht="17.6" hidden="false" customHeight="false" outlineLevel="0" collapsed="false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15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</row>
    <row r="130" customFormat="false" ht="17.6" hidden="false" customHeight="false" outlineLevel="0" collapsed="false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15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</row>
    <row r="131" customFormat="false" ht="17.6" hidden="false" customHeight="false" outlineLevel="0" collapsed="false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15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</row>
    <row r="132" customFormat="false" ht="17.6" hidden="false" customHeight="false" outlineLevel="0" collapsed="false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15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</row>
    <row r="133" customFormat="false" ht="17.6" hidden="false" customHeight="false" outlineLevel="0" collapsed="false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15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</row>
    <row r="134" customFormat="false" ht="17.6" hidden="false" customHeight="false" outlineLevel="0" collapsed="false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15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</row>
    <row r="135" customFormat="false" ht="17.6" hidden="false" customHeight="false" outlineLevel="0" collapsed="false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15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</row>
    <row r="136" customFormat="false" ht="17.6" hidden="false" customHeight="false" outlineLevel="0" collapsed="false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15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</row>
    <row r="137" customFormat="false" ht="17.6" hidden="false" customHeight="false" outlineLevel="0" collapsed="false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15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</row>
    <row r="138" customFormat="false" ht="17.6" hidden="false" customHeight="false" outlineLevel="0" collapsed="false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15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</row>
    <row r="139" customFormat="false" ht="17.6" hidden="false" customHeight="false" outlineLevel="0" collapsed="false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15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</row>
    <row r="140" customFormat="false" ht="17.6" hidden="false" customHeight="false" outlineLevel="0" collapsed="false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15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</row>
    <row r="141" customFormat="false" ht="17.6" hidden="false" customHeight="false" outlineLevel="0" collapsed="false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15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</row>
    <row r="142" customFormat="false" ht="17.6" hidden="false" customHeight="false" outlineLevel="0" collapsed="false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15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</row>
    <row r="143" customFormat="false" ht="17.6" hidden="false" customHeight="false" outlineLevel="0" collapsed="false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15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</row>
    <row r="144" customFormat="false" ht="17.6" hidden="false" customHeight="false" outlineLevel="0" collapsed="false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15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</row>
    <row r="145" customFormat="false" ht="17.6" hidden="false" customHeight="false" outlineLevel="0" collapsed="false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15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</row>
    <row r="146" customFormat="false" ht="17.6" hidden="false" customHeight="false" outlineLevel="0" collapsed="false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15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</row>
    <row r="147" customFormat="false" ht="17.6" hidden="false" customHeight="false" outlineLevel="0" collapsed="false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15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</row>
    <row r="148" customFormat="false" ht="17.6" hidden="false" customHeight="false" outlineLevel="0" collapsed="false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15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</row>
    <row r="149" customFormat="false" ht="17.6" hidden="false" customHeight="false" outlineLevel="0" collapsed="false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15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</row>
    <row r="150" customFormat="false" ht="17.6" hidden="false" customHeight="false" outlineLevel="0" collapsed="false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15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</row>
    <row r="151" customFormat="false" ht="17.6" hidden="false" customHeight="false" outlineLevel="0" collapsed="false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15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</row>
    <row r="152" customFormat="false" ht="17.6" hidden="false" customHeight="false" outlineLevel="0" collapsed="false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15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</row>
    <row r="153" customFormat="false" ht="17.6" hidden="false" customHeight="false" outlineLevel="0" collapsed="false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15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</row>
    <row r="154" customFormat="false" ht="17.6" hidden="false" customHeight="false" outlineLevel="0" collapsed="false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15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</row>
    <row r="155" customFormat="false" ht="17.6" hidden="false" customHeight="false" outlineLevel="0" collapsed="false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15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</row>
    <row r="156" customFormat="false" ht="17.6" hidden="false" customHeight="false" outlineLevel="0" collapsed="false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15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</row>
    <row r="157" customFormat="false" ht="17.6" hidden="false" customHeight="false" outlineLevel="0" collapsed="false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15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</row>
    <row r="158" customFormat="false" ht="17.6" hidden="false" customHeight="false" outlineLevel="0" collapsed="false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15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</row>
    <row r="159" customFormat="false" ht="17.6" hidden="false" customHeight="false" outlineLevel="0" collapsed="false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15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</row>
    <row r="160" customFormat="false" ht="17.6" hidden="false" customHeight="false" outlineLevel="0" collapsed="false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15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</row>
    <row r="161" customFormat="false" ht="17.6" hidden="false" customHeight="false" outlineLevel="0" collapsed="false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15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</row>
    <row r="162" customFormat="false" ht="17.6" hidden="false" customHeight="false" outlineLevel="0" collapsed="false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15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</row>
    <row r="163" customFormat="false" ht="17.6" hidden="false" customHeight="false" outlineLevel="0" collapsed="false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15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</row>
    <row r="164" customFormat="false" ht="17.6" hidden="false" customHeight="false" outlineLevel="0" collapsed="false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15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</row>
    <row r="165" customFormat="false" ht="17.6" hidden="false" customHeight="false" outlineLevel="0" collapsed="false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15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</row>
    <row r="166" customFormat="false" ht="17.6" hidden="false" customHeight="false" outlineLevel="0" collapsed="false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15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</row>
    <row r="167" customFormat="false" ht="17.6" hidden="false" customHeight="false" outlineLevel="0" collapsed="false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15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</row>
    <row r="168" customFormat="false" ht="17.6" hidden="false" customHeight="false" outlineLevel="0" collapsed="false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15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</row>
    <row r="169" customFormat="false" ht="17.6" hidden="false" customHeight="false" outlineLevel="0" collapsed="false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15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</row>
    <row r="170" customFormat="false" ht="17.6" hidden="false" customHeight="false" outlineLevel="0" collapsed="false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15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</row>
    <row r="171" customFormat="false" ht="17.6" hidden="false" customHeight="false" outlineLevel="0" collapsed="false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15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</row>
    <row r="172" customFormat="false" ht="17.6" hidden="false" customHeight="false" outlineLevel="0" collapsed="false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15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</row>
    <row r="173" customFormat="false" ht="17.6" hidden="false" customHeight="false" outlineLevel="0" collapsed="false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15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</row>
    <row r="174" customFormat="false" ht="17.6" hidden="false" customHeight="false" outlineLevel="0" collapsed="false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15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</row>
    <row r="175" customFormat="false" ht="17.6" hidden="false" customHeight="false" outlineLevel="0" collapsed="false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15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</row>
    <row r="176" customFormat="false" ht="17.6" hidden="false" customHeight="false" outlineLevel="0" collapsed="false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15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</row>
    <row r="177" customFormat="false" ht="17.6" hidden="false" customHeight="false" outlineLevel="0" collapsed="false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15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</row>
    <row r="178" customFormat="false" ht="17.6" hidden="false" customHeight="false" outlineLevel="0" collapsed="false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15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</row>
    <row r="179" customFormat="false" ht="17.6" hidden="false" customHeight="false" outlineLevel="0" collapsed="false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15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</row>
    <row r="180" customFormat="false" ht="17.6" hidden="false" customHeight="false" outlineLevel="0" collapsed="false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15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</row>
    <row r="181" customFormat="false" ht="17.6" hidden="false" customHeight="false" outlineLevel="0" collapsed="false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15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</row>
    <row r="182" customFormat="false" ht="17.6" hidden="false" customHeight="false" outlineLevel="0" collapsed="false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15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</row>
    <row r="183" customFormat="false" ht="17.6" hidden="false" customHeight="false" outlineLevel="0" collapsed="false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15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</row>
    <row r="184" customFormat="false" ht="17.6" hidden="false" customHeight="false" outlineLevel="0" collapsed="false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15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</row>
    <row r="185" customFormat="false" ht="17.6" hidden="false" customHeight="false" outlineLevel="0" collapsed="false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15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</row>
    <row r="186" customFormat="false" ht="17.6" hidden="false" customHeight="false" outlineLevel="0" collapsed="false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15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</row>
    <row r="187" customFormat="false" ht="17.6" hidden="false" customHeight="false" outlineLevel="0" collapsed="false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15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</row>
    <row r="188" customFormat="false" ht="17.6" hidden="false" customHeight="false" outlineLevel="0" collapsed="false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15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</row>
    <row r="189" customFormat="false" ht="17.6" hidden="false" customHeight="false" outlineLevel="0" collapsed="false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15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</row>
    <row r="190" customFormat="false" ht="17.6" hidden="false" customHeight="false" outlineLevel="0" collapsed="false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15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</row>
    <row r="191" customFormat="false" ht="17.6" hidden="false" customHeight="false" outlineLevel="0" collapsed="false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15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</row>
    <row r="192" customFormat="false" ht="17.6" hidden="false" customHeight="false" outlineLevel="0" collapsed="false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15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</row>
    <row r="193" customFormat="false" ht="17.6" hidden="false" customHeight="false" outlineLevel="0" collapsed="false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15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</row>
    <row r="194" customFormat="false" ht="17.6" hidden="false" customHeight="false" outlineLevel="0" collapsed="false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15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</row>
    <row r="195" customFormat="false" ht="17.6" hidden="false" customHeight="false" outlineLevel="0" collapsed="false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15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</row>
    <row r="196" customFormat="false" ht="17.6" hidden="false" customHeight="false" outlineLevel="0" collapsed="false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15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</row>
    <row r="197" customFormat="false" ht="17.6" hidden="false" customHeight="false" outlineLevel="0" collapsed="false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15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</row>
    <row r="198" customFormat="false" ht="17.6" hidden="false" customHeight="false" outlineLevel="0" collapsed="false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15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</row>
    <row r="199" customFormat="false" ht="17.6" hidden="false" customHeight="false" outlineLevel="0" collapsed="false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15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</row>
    <row r="200" customFormat="false" ht="17.6" hidden="false" customHeight="false" outlineLevel="0" collapsed="false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15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</row>
    <row r="201" customFormat="false" ht="17.6" hidden="false" customHeight="false" outlineLevel="0" collapsed="false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15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</row>
    <row r="202" customFormat="false" ht="17.6" hidden="false" customHeight="false" outlineLevel="0" collapsed="false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15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</row>
    <row r="203" customFormat="false" ht="17.6" hidden="false" customHeight="false" outlineLevel="0" collapsed="false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15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</row>
    <row r="204" customFormat="false" ht="17.6" hidden="false" customHeight="false" outlineLevel="0" collapsed="false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15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</row>
    <row r="205" customFormat="false" ht="17.6" hidden="false" customHeight="false" outlineLevel="0" collapsed="false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15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</row>
    <row r="206" customFormat="false" ht="17.6" hidden="false" customHeight="false" outlineLevel="0" collapsed="false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15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</row>
    <row r="207" customFormat="false" ht="17.6" hidden="false" customHeight="false" outlineLevel="0" collapsed="false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15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</row>
    <row r="208" customFormat="false" ht="17.6" hidden="false" customHeight="false" outlineLevel="0" collapsed="false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15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</row>
    <row r="209" customFormat="false" ht="17.6" hidden="false" customHeight="false" outlineLevel="0" collapsed="false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15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</row>
    <row r="210" customFormat="false" ht="17.6" hidden="false" customHeight="false" outlineLevel="0" collapsed="false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15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</row>
    <row r="211" customFormat="false" ht="17.6" hidden="false" customHeight="false" outlineLevel="0" collapsed="false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15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</row>
    <row r="212" customFormat="false" ht="17.6" hidden="false" customHeight="false" outlineLevel="0" collapsed="false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15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</row>
    <row r="213" customFormat="false" ht="17.6" hidden="false" customHeight="false" outlineLevel="0" collapsed="false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15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</row>
    <row r="214" customFormat="false" ht="17.6" hidden="false" customHeight="false" outlineLevel="0" collapsed="false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15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</row>
    <row r="215" customFormat="false" ht="17.6" hidden="false" customHeight="false" outlineLevel="0" collapsed="false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15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</row>
    <row r="216" customFormat="false" ht="17.6" hidden="false" customHeight="false" outlineLevel="0" collapsed="false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15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</row>
    <row r="217" customFormat="false" ht="17.6" hidden="false" customHeight="false" outlineLevel="0" collapsed="false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15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</row>
    <row r="218" customFormat="false" ht="17.6" hidden="false" customHeight="false" outlineLevel="0" collapsed="false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15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</row>
    <row r="219" customFormat="false" ht="17.6" hidden="false" customHeight="false" outlineLevel="0" collapsed="false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15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</row>
    <row r="220" customFormat="false" ht="17.6" hidden="false" customHeight="false" outlineLevel="0" collapsed="false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15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</row>
    <row r="221" customFormat="false" ht="17.6" hidden="false" customHeight="false" outlineLevel="0" collapsed="false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15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</row>
    <row r="222" customFormat="false" ht="17.6" hidden="false" customHeight="false" outlineLevel="0" collapsed="false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15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</row>
    <row r="223" customFormat="false" ht="17.6" hidden="false" customHeight="false" outlineLevel="0" collapsed="false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15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</row>
    <row r="224" customFormat="false" ht="17.6" hidden="false" customHeight="false" outlineLevel="0" collapsed="false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15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</row>
    <row r="225" customFormat="false" ht="17.6" hidden="false" customHeight="false" outlineLevel="0" collapsed="false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15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</row>
    <row r="226" customFormat="false" ht="17.6" hidden="false" customHeight="false" outlineLevel="0" collapsed="false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15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</row>
    <row r="227" customFormat="false" ht="17.6" hidden="false" customHeight="false" outlineLevel="0" collapsed="false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15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</row>
    <row r="228" customFormat="false" ht="17.6" hidden="false" customHeight="false" outlineLevel="0" collapsed="false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15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</row>
    <row r="229" customFormat="false" ht="17.6" hidden="false" customHeight="false" outlineLevel="0" collapsed="false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15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</row>
    <row r="230" customFormat="false" ht="17.6" hidden="false" customHeight="false" outlineLevel="0" collapsed="false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15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</row>
    <row r="231" customFormat="false" ht="17.6" hidden="false" customHeight="false" outlineLevel="0" collapsed="false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15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</row>
    <row r="232" customFormat="false" ht="17.6" hidden="false" customHeight="false" outlineLevel="0" collapsed="false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15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</row>
    <row r="233" customFormat="false" ht="17.6" hidden="false" customHeight="false" outlineLevel="0" collapsed="false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15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</row>
    <row r="234" customFormat="false" ht="17.6" hidden="false" customHeight="false" outlineLevel="0" collapsed="false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15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</row>
    <row r="235" customFormat="false" ht="17.6" hidden="false" customHeight="false" outlineLevel="0" collapsed="false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15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</row>
    <row r="236" customFormat="false" ht="17.6" hidden="false" customHeight="false" outlineLevel="0" collapsed="false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15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</row>
    <row r="237" customFormat="false" ht="17.6" hidden="false" customHeight="false" outlineLevel="0" collapsed="false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15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</row>
    <row r="238" customFormat="false" ht="17.6" hidden="false" customHeight="false" outlineLevel="0" collapsed="false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15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</row>
    <row r="239" customFormat="false" ht="17.6" hidden="false" customHeight="false" outlineLevel="0" collapsed="false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15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</row>
    <row r="240" customFormat="false" ht="17.6" hidden="false" customHeight="false" outlineLevel="0" collapsed="false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15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</row>
    <row r="241" customFormat="false" ht="17.6" hidden="false" customHeight="false" outlineLevel="0" collapsed="false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15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</row>
    <row r="242" customFormat="false" ht="17.6" hidden="false" customHeight="false" outlineLevel="0" collapsed="false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15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</row>
    <row r="243" customFormat="false" ht="17.6" hidden="false" customHeight="false" outlineLevel="0" collapsed="false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15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</row>
    <row r="244" customFormat="false" ht="17.6" hidden="false" customHeight="false" outlineLevel="0" collapsed="false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15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</row>
    <row r="245" customFormat="false" ht="17.6" hidden="false" customHeight="false" outlineLevel="0" collapsed="false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15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</row>
    <row r="246" customFormat="false" ht="17.6" hidden="false" customHeight="false" outlineLevel="0" collapsed="false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15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</row>
    <row r="247" customFormat="false" ht="17.6" hidden="false" customHeight="false" outlineLevel="0" collapsed="false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15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</row>
    <row r="248" customFormat="false" ht="17.6" hidden="false" customHeight="false" outlineLevel="0" collapsed="false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15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</row>
    <row r="249" customFormat="false" ht="17.6" hidden="false" customHeight="false" outlineLevel="0" collapsed="false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15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</row>
    <row r="250" customFormat="false" ht="17.6" hidden="false" customHeight="false" outlineLevel="0" collapsed="false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15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</row>
    <row r="251" customFormat="false" ht="17.6" hidden="false" customHeight="false" outlineLevel="0" collapsed="false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15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</row>
    <row r="252" customFormat="false" ht="17.6" hidden="false" customHeight="false" outlineLevel="0" collapsed="false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15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</row>
    <row r="253" customFormat="false" ht="17.6" hidden="false" customHeight="false" outlineLevel="0" collapsed="false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15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</row>
    <row r="254" customFormat="false" ht="17.6" hidden="false" customHeight="false" outlineLevel="0" collapsed="false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15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</row>
    <row r="255" customFormat="false" ht="17.6" hidden="false" customHeight="false" outlineLevel="0" collapsed="false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15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</row>
    <row r="256" customFormat="false" ht="17.6" hidden="false" customHeight="false" outlineLevel="0" collapsed="false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15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</row>
    <row r="257" customFormat="false" ht="17.6" hidden="false" customHeight="false" outlineLevel="0" collapsed="false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15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</row>
    <row r="258" customFormat="false" ht="17.6" hidden="false" customHeight="false" outlineLevel="0" collapsed="false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15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</row>
    <row r="259" customFormat="false" ht="17.6" hidden="false" customHeight="false" outlineLevel="0" collapsed="false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15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</row>
    <row r="260" customFormat="false" ht="17.6" hidden="false" customHeight="false" outlineLevel="0" collapsed="false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15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</row>
    <row r="261" customFormat="false" ht="17.6" hidden="false" customHeight="false" outlineLevel="0" collapsed="false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15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</row>
    <row r="262" customFormat="false" ht="17.6" hidden="false" customHeight="false" outlineLevel="0" collapsed="false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15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</row>
    <row r="263" customFormat="false" ht="17.6" hidden="false" customHeight="false" outlineLevel="0" collapsed="false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15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9"/>
    </row>
    <row r="264" customFormat="false" ht="17.6" hidden="false" customHeight="false" outlineLevel="0" collapsed="false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15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</row>
    <row r="265" customFormat="false" ht="17.6" hidden="false" customHeight="false" outlineLevel="0" collapsed="false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15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9"/>
    </row>
    <row r="266" customFormat="false" ht="17.6" hidden="false" customHeight="false" outlineLevel="0" collapsed="false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15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</row>
    <row r="267" customFormat="false" ht="17.6" hidden="false" customHeight="false" outlineLevel="0" collapsed="false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15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9"/>
    </row>
    <row r="268" customFormat="false" ht="17.6" hidden="false" customHeight="false" outlineLevel="0" collapsed="false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15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</row>
    <row r="269" customFormat="false" ht="17.6" hidden="false" customHeight="false" outlineLevel="0" collapsed="false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15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</row>
    <row r="270" customFormat="false" ht="17.6" hidden="false" customHeight="false" outlineLevel="0" collapsed="false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15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</row>
    <row r="271" customFormat="false" ht="17.6" hidden="false" customHeight="false" outlineLevel="0" collapsed="false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15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</row>
    <row r="272" customFormat="false" ht="17.6" hidden="false" customHeight="false" outlineLevel="0" collapsed="false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15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9"/>
    </row>
    <row r="273" customFormat="false" ht="17.6" hidden="false" customHeight="false" outlineLevel="0" collapsed="false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15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</row>
    <row r="274" customFormat="false" ht="17.6" hidden="false" customHeight="false" outlineLevel="0" collapsed="false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15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9"/>
    </row>
    <row r="275" customFormat="false" ht="17.6" hidden="false" customHeight="false" outlineLevel="0" collapsed="false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15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9"/>
    </row>
    <row r="276" customFormat="false" ht="17.6" hidden="false" customHeight="false" outlineLevel="0" collapsed="false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15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  <c r="AW276" s="9"/>
    </row>
    <row r="277" customFormat="false" ht="17.6" hidden="false" customHeight="false" outlineLevel="0" collapsed="false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15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9"/>
    </row>
    <row r="278" customFormat="false" ht="17.6" hidden="false" customHeight="false" outlineLevel="0" collapsed="false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15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9"/>
    </row>
    <row r="279" customFormat="false" ht="17.6" hidden="false" customHeight="false" outlineLevel="0" collapsed="false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15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9"/>
    </row>
    <row r="280" customFormat="false" ht="17.6" hidden="false" customHeight="false" outlineLevel="0" collapsed="false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15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9"/>
    </row>
    <row r="281" customFormat="false" ht="17.6" hidden="false" customHeight="false" outlineLevel="0" collapsed="false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15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  <c r="AW281" s="9"/>
    </row>
    <row r="282" customFormat="false" ht="17.6" hidden="false" customHeight="false" outlineLevel="0" collapsed="false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15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</row>
    <row r="283" customFormat="false" ht="17.6" hidden="false" customHeight="false" outlineLevel="0" collapsed="false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15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  <c r="AW283" s="9"/>
    </row>
    <row r="284" customFormat="false" ht="17.6" hidden="false" customHeight="false" outlineLevel="0" collapsed="false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15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  <c r="AW284" s="9"/>
    </row>
    <row r="285" customFormat="false" ht="17.6" hidden="false" customHeight="false" outlineLevel="0" collapsed="false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15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  <c r="AW285" s="9"/>
    </row>
    <row r="286" customFormat="false" ht="17.6" hidden="false" customHeight="false" outlineLevel="0" collapsed="false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15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  <c r="AW286" s="9"/>
    </row>
    <row r="287" customFormat="false" ht="17.6" hidden="false" customHeight="false" outlineLevel="0" collapsed="false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15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  <c r="AW287" s="9"/>
    </row>
    <row r="288" customFormat="false" ht="17.6" hidden="false" customHeight="false" outlineLevel="0" collapsed="false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15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  <c r="AW288" s="9"/>
    </row>
    <row r="289" customFormat="false" ht="17.6" hidden="false" customHeight="false" outlineLevel="0" collapsed="false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15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  <c r="AW289" s="9"/>
    </row>
    <row r="290" customFormat="false" ht="17.6" hidden="false" customHeight="false" outlineLevel="0" collapsed="false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15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9"/>
    </row>
    <row r="291" customFormat="false" ht="17.6" hidden="false" customHeight="false" outlineLevel="0" collapsed="false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15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  <c r="AW291" s="9"/>
    </row>
    <row r="292" customFormat="false" ht="17.6" hidden="false" customHeight="false" outlineLevel="0" collapsed="false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15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  <c r="AW292" s="9"/>
    </row>
    <row r="293" customFormat="false" ht="17.6" hidden="false" customHeight="false" outlineLevel="0" collapsed="false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15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  <c r="AW293" s="9"/>
    </row>
    <row r="294" customFormat="false" ht="17.6" hidden="false" customHeight="false" outlineLevel="0" collapsed="false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15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  <c r="AW294" s="9"/>
    </row>
    <row r="295" customFormat="false" ht="17.6" hidden="false" customHeight="false" outlineLevel="0" collapsed="false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15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  <c r="AW295" s="9"/>
    </row>
    <row r="296" customFormat="false" ht="17.6" hidden="false" customHeight="false" outlineLevel="0" collapsed="false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15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  <c r="AW296" s="9"/>
    </row>
    <row r="297" customFormat="false" ht="17.6" hidden="false" customHeight="false" outlineLevel="0" collapsed="false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15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  <c r="AV297" s="9"/>
      <c r="AW297" s="9"/>
    </row>
    <row r="298" customFormat="false" ht="17.6" hidden="false" customHeight="false" outlineLevel="0" collapsed="false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15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  <c r="AW298" s="9"/>
    </row>
    <row r="299" customFormat="false" ht="17.6" hidden="false" customHeight="false" outlineLevel="0" collapsed="false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15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  <c r="AW299" s="9"/>
    </row>
    <row r="300" customFormat="false" ht="17.6" hidden="false" customHeight="false" outlineLevel="0" collapsed="false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15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  <c r="AW300" s="9"/>
    </row>
    <row r="301" customFormat="false" ht="17.6" hidden="false" customHeight="false" outlineLevel="0" collapsed="false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15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9"/>
      <c r="AV301" s="9"/>
      <c r="AW301" s="9"/>
    </row>
    <row r="302" customFormat="false" ht="17.6" hidden="false" customHeight="false" outlineLevel="0" collapsed="false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15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9"/>
      <c r="AV302" s="9"/>
      <c r="AW302" s="9"/>
    </row>
    <row r="303" customFormat="false" ht="17.6" hidden="false" customHeight="false" outlineLevel="0" collapsed="false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15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  <c r="AT303" s="9"/>
      <c r="AU303" s="9"/>
      <c r="AV303" s="9"/>
      <c r="AW303" s="9"/>
    </row>
    <row r="304" customFormat="false" ht="17.6" hidden="false" customHeight="false" outlineLevel="0" collapsed="false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15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  <c r="AU304" s="9"/>
      <c r="AV304" s="9"/>
      <c r="AW304" s="9"/>
    </row>
    <row r="305" customFormat="false" ht="17.6" hidden="false" customHeight="false" outlineLevel="0" collapsed="false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15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9"/>
      <c r="AV305" s="9"/>
      <c r="AW305" s="9"/>
    </row>
    <row r="306" customFormat="false" ht="17.6" hidden="false" customHeight="false" outlineLevel="0" collapsed="false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15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9"/>
      <c r="AV306" s="9"/>
      <c r="AW306" s="9"/>
    </row>
    <row r="307" customFormat="false" ht="17.6" hidden="false" customHeight="false" outlineLevel="0" collapsed="false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15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9"/>
      <c r="AV307" s="9"/>
      <c r="AW307" s="9"/>
    </row>
    <row r="308" customFormat="false" ht="17.6" hidden="false" customHeight="false" outlineLevel="0" collapsed="false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15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/>
      <c r="AV308" s="9"/>
      <c r="AW308" s="9"/>
    </row>
    <row r="309" customFormat="false" ht="17.6" hidden="false" customHeight="false" outlineLevel="0" collapsed="false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15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  <c r="AU309" s="9"/>
      <c r="AV309" s="9"/>
      <c r="AW309" s="9"/>
    </row>
    <row r="310" customFormat="false" ht="17.6" hidden="false" customHeight="false" outlineLevel="0" collapsed="false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15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9"/>
      <c r="AV310" s="9"/>
      <c r="AW310" s="9"/>
    </row>
    <row r="311" customFormat="false" ht="17.6" hidden="false" customHeight="false" outlineLevel="0" collapsed="false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15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9"/>
      <c r="AV311" s="9"/>
      <c r="AW311" s="9"/>
    </row>
    <row r="312" customFormat="false" ht="17.6" hidden="false" customHeight="false" outlineLevel="0" collapsed="false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15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9"/>
      <c r="AV312" s="9"/>
      <c r="AW312" s="9"/>
    </row>
    <row r="313" customFormat="false" ht="17.6" hidden="false" customHeight="false" outlineLevel="0" collapsed="false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15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  <c r="AV313" s="9"/>
      <c r="AW313" s="9"/>
    </row>
    <row r="314" customFormat="false" ht="17.6" hidden="false" customHeight="false" outlineLevel="0" collapsed="false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15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  <c r="AV314" s="9"/>
      <c r="AW314" s="9"/>
    </row>
    <row r="315" customFormat="false" ht="17.6" hidden="false" customHeight="false" outlineLevel="0" collapsed="false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15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9"/>
      <c r="AV315" s="9"/>
      <c r="AW315" s="9"/>
    </row>
    <row r="316" customFormat="false" ht="17.6" hidden="false" customHeight="false" outlineLevel="0" collapsed="false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15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  <c r="AV316" s="9"/>
      <c r="AW316" s="9"/>
    </row>
    <row r="317" customFormat="false" ht="17.6" hidden="false" customHeight="false" outlineLevel="0" collapsed="false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15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/>
      <c r="AV317" s="9"/>
      <c r="AW317" s="9"/>
    </row>
    <row r="318" customFormat="false" ht="17.6" hidden="false" customHeight="false" outlineLevel="0" collapsed="false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15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  <c r="AV318" s="9"/>
      <c r="AW318" s="9"/>
    </row>
    <row r="319" customFormat="false" ht="17.6" hidden="false" customHeight="false" outlineLevel="0" collapsed="false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15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  <c r="AV319" s="9"/>
      <c r="AW319" s="9"/>
    </row>
    <row r="320" customFormat="false" ht="17.6" hidden="false" customHeight="false" outlineLevel="0" collapsed="false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15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  <c r="AV320" s="9"/>
      <c r="AW320" s="9"/>
    </row>
    <row r="321" customFormat="false" ht="17.6" hidden="false" customHeight="false" outlineLevel="0" collapsed="false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15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  <c r="AV321" s="9"/>
      <c r="AW321" s="9"/>
    </row>
    <row r="322" customFormat="false" ht="17.6" hidden="false" customHeight="false" outlineLevel="0" collapsed="false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15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/>
      <c r="AV322" s="9"/>
      <c r="AW322" s="9"/>
    </row>
    <row r="323" customFormat="false" ht="17.6" hidden="false" customHeight="false" outlineLevel="0" collapsed="false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15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/>
      <c r="AV323" s="9"/>
      <c r="AW323" s="9"/>
    </row>
    <row r="324" customFormat="false" ht="17.6" hidden="false" customHeight="false" outlineLevel="0" collapsed="false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15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9"/>
      <c r="AV324" s="9"/>
      <c r="AW324" s="9"/>
    </row>
    <row r="325" customFormat="false" ht="17.6" hidden="false" customHeight="false" outlineLevel="0" collapsed="false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15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9"/>
      <c r="AV325" s="9"/>
      <c r="AW325" s="9"/>
    </row>
    <row r="326" customFormat="false" ht="17.6" hidden="false" customHeight="false" outlineLevel="0" collapsed="false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15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  <c r="AU326" s="9"/>
      <c r="AV326" s="9"/>
      <c r="AW326" s="9"/>
    </row>
    <row r="327" customFormat="false" ht="17.6" hidden="false" customHeight="false" outlineLevel="0" collapsed="false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15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9"/>
      <c r="AV327" s="9"/>
      <c r="AW327" s="9"/>
    </row>
    <row r="328" customFormat="false" ht="17.6" hidden="false" customHeight="false" outlineLevel="0" collapsed="false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15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  <c r="AU328" s="9"/>
      <c r="AV328" s="9"/>
      <c r="AW328" s="9"/>
    </row>
    <row r="329" customFormat="false" ht="17.6" hidden="false" customHeight="false" outlineLevel="0" collapsed="false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15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9"/>
      <c r="AV329" s="9"/>
      <c r="AW329" s="9"/>
    </row>
    <row r="330" customFormat="false" ht="17.6" hidden="false" customHeight="false" outlineLevel="0" collapsed="false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15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9"/>
      <c r="AV330" s="9"/>
      <c r="AW330" s="9"/>
    </row>
    <row r="331" customFormat="false" ht="17.6" hidden="false" customHeight="false" outlineLevel="0" collapsed="false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15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  <c r="AV331" s="9"/>
      <c r="AW331" s="9"/>
    </row>
    <row r="332" customFormat="false" ht="17.6" hidden="false" customHeight="false" outlineLevel="0" collapsed="false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15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  <c r="AV332" s="9"/>
      <c r="AW332" s="9"/>
    </row>
    <row r="333" customFormat="false" ht="17.6" hidden="false" customHeight="false" outlineLevel="0" collapsed="false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15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/>
      <c r="AV333" s="9"/>
      <c r="AW333" s="9"/>
    </row>
    <row r="334" customFormat="false" ht="17.6" hidden="false" customHeight="false" outlineLevel="0" collapsed="false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15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/>
      <c r="AV334" s="9"/>
      <c r="AW334" s="9"/>
    </row>
    <row r="335" customFormat="false" ht="17.6" hidden="false" customHeight="false" outlineLevel="0" collapsed="false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15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  <c r="AU335" s="9"/>
      <c r="AV335" s="9"/>
      <c r="AW335" s="9"/>
    </row>
    <row r="336" customFormat="false" ht="17.6" hidden="false" customHeight="false" outlineLevel="0" collapsed="false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15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9"/>
      <c r="AV336" s="9"/>
      <c r="AW336" s="9"/>
    </row>
    <row r="337" customFormat="false" ht="17.6" hidden="false" customHeight="false" outlineLevel="0" collapsed="false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15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  <c r="AV337" s="9"/>
      <c r="AW337" s="9"/>
    </row>
    <row r="338" customFormat="false" ht="17.6" hidden="false" customHeight="false" outlineLevel="0" collapsed="false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15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9"/>
      <c r="AV338" s="9"/>
      <c r="AW338" s="9"/>
    </row>
    <row r="339" customFormat="false" ht="17.6" hidden="false" customHeight="false" outlineLevel="0" collapsed="false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15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/>
      <c r="AV339" s="9"/>
      <c r="AW339" s="9"/>
    </row>
    <row r="340" customFormat="false" ht="17.6" hidden="false" customHeight="false" outlineLevel="0" collapsed="false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15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  <c r="AV340" s="9"/>
      <c r="AW340" s="9"/>
    </row>
    <row r="341" customFormat="false" ht="17.6" hidden="false" customHeight="false" outlineLevel="0" collapsed="false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15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/>
      <c r="AV341" s="9"/>
      <c r="AW341" s="9"/>
    </row>
    <row r="342" customFormat="false" ht="17.6" hidden="false" customHeight="false" outlineLevel="0" collapsed="false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15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/>
      <c r="AV342" s="9"/>
      <c r="AW342" s="9"/>
    </row>
    <row r="343" customFormat="false" ht="17.6" hidden="false" customHeight="false" outlineLevel="0" collapsed="false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15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9"/>
      <c r="AV343" s="9"/>
      <c r="AW343" s="9"/>
    </row>
    <row r="344" customFormat="false" ht="17.6" hidden="false" customHeight="false" outlineLevel="0" collapsed="false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15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9"/>
      <c r="AV344" s="9"/>
      <c r="AW344" s="9"/>
    </row>
    <row r="345" customFormat="false" ht="17.6" hidden="false" customHeight="false" outlineLevel="0" collapsed="false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15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9"/>
      <c r="AV345" s="9"/>
      <c r="AW345" s="9"/>
    </row>
    <row r="346" customFormat="false" ht="17.6" hidden="false" customHeight="false" outlineLevel="0" collapsed="false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15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  <c r="AT346" s="9"/>
      <c r="AU346" s="9"/>
      <c r="AV346" s="9"/>
      <c r="AW346" s="9"/>
    </row>
    <row r="347" customFormat="false" ht="17.6" hidden="false" customHeight="false" outlineLevel="0" collapsed="false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15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9"/>
      <c r="AV347" s="9"/>
      <c r="AW347" s="9"/>
    </row>
    <row r="348" customFormat="false" ht="17.6" hidden="false" customHeight="false" outlineLevel="0" collapsed="false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15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9"/>
      <c r="AV348" s="9"/>
      <c r="AW348" s="9"/>
    </row>
    <row r="349" customFormat="false" ht="17.6" hidden="false" customHeight="false" outlineLevel="0" collapsed="false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15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9"/>
      <c r="AV349" s="9"/>
      <c r="AW349" s="9"/>
    </row>
    <row r="350" customFormat="false" ht="17.6" hidden="false" customHeight="false" outlineLevel="0" collapsed="false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15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9"/>
      <c r="AU350" s="9"/>
      <c r="AV350" s="9"/>
      <c r="AW350" s="9"/>
    </row>
    <row r="351" customFormat="false" ht="17.6" hidden="false" customHeight="false" outlineLevel="0" collapsed="false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15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9"/>
      <c r="AV351" s="9"/>
      <c r="AW351" s="9"/>
    </row>
    <row r="352" customFormat="false" ht="17.6" hidden="false" customHeight="false" outlineLevel="0" collapsed="false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15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  <c r="AU352" s="9"/>
      <c r="AV352" s="9"/>
      <c r="AW352" s="9"/>
    </row>
    <row r="353" customFormat="false" ht="17.6" hidden="false" customHeight="false" outlineLevel="0" collapsed="false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15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  <c r="AT353" s="9"/>
      <c r="AU353" s="9"/>
      <c r="AV353" s="9"/>
      <c r="AW353" s="9"/>
    </row>
    <row r="354" customFormat="false" ht="17.6" hidden="false" customHeight="false" outlineLevel="0" collapsed="false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15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  <c r="AT354" s="9"/>
      <c r="AU354" s="9"/>
      <c r="AV354" s="9"/>
      <c r="AW354" s="9"/>
    </row>
    <row r="355" customFormat="false" ht="17.6" hidden="false" customHeight="false" outlineLevel="0" collapsed="false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15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9"/>
      <c r="AV355" s="9"/>
      <c r="AW355" s="9"/>
    </row>
    <row r="356" customFormat="false" ht="17.6" hidden="false" customHeight="false" outlineLevel="0" collapsed="false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15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9"/>
      <c r="AV356" s="9"/>
      <c r="AW356" s="9"/>
    </row>
    <row r="357" customFormat="false" ht="17.6" hidden="false" customHeight="false" outlineLevel="0" collapsed="false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15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9"/>
      <c r="AV357" s="9"/>
      <c r="AW357" s="9"/>
    </row>
    <row r="358" customFormat="false" ht="17.6" hidden="false" customHeight="false" outlineLevel="0" collapsed="false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15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  <c r="AT358" s="9"/>
      <c r="AU358" s="9"/>
      <c r="AV358" s="9"/>
      <c r="AW358" s="9"/>
    </row>
    <row r="359" customFormat="false" ht="17.6" hidden="false" customHeight="false" outlineLevel="0" collapsed="false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15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9"/>
      <c r="AV359" s="9"/>
      <c r="AW359" s="9"/>
    </row>
    <row r="360" customFormat="false" ht="17.6" hidden="false" customHeight="false" outlineLevel="0" collapsed="false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15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9"/>
      <c r="AV360" s="9"/>
      <c r="AW360" s="9"/>
    </row>
    <row r="361" customFormat="false" ht="17.6" hidden="false" customHeight="false" outlineLevel="0" collapsed="false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15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  <c r="AT361" s="9"/>
      <c r="AU361" s="9"/>
      <c r="AV361" s="9"/>
      <c r="AW361" s="9"/>
    </row>
    <row r="362" customFormat="false" ht="17.6" hidden="false" customHeight="false" outlineLevel="0" collapsed="false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15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9"/>
      <c r="AT362" s="9"/>
      <c r="AU362" s="9"/>
      <c r="AV362" s="9"/>
      <c r="AW362" s="9"/>
    </row>
    <row r="363" customFormat="false" ht="17.6" hidden="false" customHeight="false" outlineLevel="0" collapsed="false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15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/>
      <c r="AV363" s="9"/>
      <c r="AW363" s="9"/>
    </row>
    <row r="364" customFormat="false" ht="17.6" hidden="false" customHeight="false" outlineLevel="0" collapsed="false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15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  <c r="AV364" s="9"/>
      <c r="AW364" s="9"/>
    </row>
    <row r="365" customFormat="false" ht="17.6" hidden="false" customHeight="false" outlineLevel="0" collapsed="false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15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9"/>
      <c r="AV365" s="9"/>
      <c r="AW365" s="9"/>
    </row>
    <row r="366" customFormat="false" ht="17.6" hidden="false" customHeight="false" outlineLevel="0" collapsed="false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15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9"/>
      <c r="AU366" s="9"/>
      <c r="AV366" s="9"/>
      <c r="AW366" s="9"/>
    </row>
    <row r="367" customFormat="false" ht="17.6" hidden="false" customHeight="false" outlineLevel="0" collapsed="false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15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9"/>
      <c r="AV367" s="9"/>
      <c r="AW367" s="9"/>
    </row>
    <row r="368" customFormat="false" ht="17.6" hidden="false" customHeight="false" outlineLevel="0" collapsed="false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15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9"/>
      <c r="AV368" s="9"/>
      <c r="AW368" s="9"/>
    </row>
    <row r="369" customFormat="false" ht="17.6" hidden="false" customHeight="false" outlineLevel="0" collapsed="false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15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  <c r="AU369" s="9"/>
      <c r="AV369" s="9"/>
      <c r="AW369" s="9"/>
    </row>
    <row r="370" customFormat="false" ht="17.6" hidden="false" customHeight="false" outlineLevel="0" collapsed="false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15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  <c r="AT370" s="9"/>
      <c r="AU370" s="9"/>
      <c r="AV370" s="9"/>
      <c r="AW370" s="9"/>
    </row>
    <row r="371" customFormat="false" ht="17.6" hidden="false" customHeight="false" outlineLevel="0" collapsed="false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15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9"/>
      <c r="AT371" s="9"/>
      <c r="AU371" s="9"/>
      <c r="AV371" s="9"/>
      <c r="AW371" s="9"/>
    </row>
    <row r="372" customFormat="false" ht="17.6" hidden="false" customHeight="false" outlineLevel="0" collapsed="false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15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9"/>
      <c r="AT372" s="9"/>
      <c r="AU372" s="9"/>
      <c r="AV372" s="9"/>
      <c r="AW372" s="9"/>
    </row>
    <row r="373" customFormat="false" ht="17.6" hidden="false" customHeight="false" outlineLevel="0" collapsed="false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15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9"/>
      <c r="AT373" s="9"/>
      <c r="AU373" s="9"/>
      <c r="AV373" s="9"/>
      <c r="AW373" s="9"/>
    </row>
    <row r="374" customFormat="false" ht="17.6" hidden="false" customHeight="false" outlineLevel="0" collapsed="false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15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  <c r="AT374" s="9"/>
      <c r="AU374" s="9"/>
      <c r="AV374" s="9"/>
      <c r="AW374" s="9"/>
    </row>
    <row r="375" customFormat="false" ht="17.6" hidden="false" customHeight="false" outlineLevel="0" collapsed="false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15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9"/>
      <c r="AT375" s="9"/>
      <c r="AU375" s="9"/>
      <c r="AV375" s="9"/>
      <c r="AW375" s="9"/>
    </row>
    <row r="376" customFormat="false" ht="17.6" hidden="false" customHeight="false" outlineLevel="0" collapsed="false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15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9"/>
      <c r="AV376" s="9"/>
      <c r="AW376" s="9"/>
    </row>
    <row r="377" customFormat="false" ht="17.6" hidden="false" customHeight="false" outlineLevel="0" collapsed="false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15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  <c r="AT377" s="9"/>
      <c r="AU377" s="9"/>
      <c r="AV377" s="9"/>
      <c r="AW377" s="9"/>
    </row>
    <row r="378" customFormat="false" ht="17.6" hidden="false" customHeight="false" outlineLevel="0" collapsed="false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15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9"/>
      <c r="AT378" s="9"/>
      <c r="AU378" s="9"/>
      <c r="AV378" s="9"/>
      <c r="AW378" s="9"/>
    </row>
    <row r="379" customFormat="false" ht="17.6" hidden="false" customHeight="false" outlineLevel="0" collapsed="false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15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  <c r="AS379" s="9"/>
      <c r="AT379" s="9"/>
      <c r="AU379" s="9"/>
      <c r="AV379" s="9"/>
      <c r="AW379" s="9"/>
    </row>
    <row r="380" customFormat="false" ht="17.6" hidden="false" customHeight="false" outlineLevel="0" collapsed="false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15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9"/>
      <c r="AT380" s="9"/>
      <c r="AU380" s="9"/>
      <c r="AV380" s="9"/>
      <c r="AW380" s="9"/>
    </row>
    <row r="381" customFormat="false" ht="17.6" hidden="false" customHeight="false" outlineLevel="0" collapsed="false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15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  <c r="AS381" s="9"/>
      <c r="AT381" s="9"/>
      <c r="AU381" s="9"/>
      <c r="AV381" s="9"/>
      <c r="AW381" s="9"/>
    </row>
    <row r="382" customFormat="false" ht="17.6" hidden="false" customHeight="false" outlineLevel="0" collapsed="false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15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9"/>
      <c r="AV382" s="9"/>
      <c r="AW382" s="9"/>
    </row>
    <row r="383" customFormat="false" ht="17.6" hidden="false" customHeight="false" outlineLevel="0" collapsed="false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15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9"/>
      <c r="AV383" s="9"/>
      <c r="AW383" s="9"/>
    </row>
    <row r="384" customFormat="false" ht="17.6" hidden="false" customHeight="false" outlineLevel="0" collapsed="false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15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  <c r="AT384" s="9"/>
      <c r="AU384" s="9"/>
      <c r="AV384" s="9"/>
      <c r="AW384" s="9"/>
    </row>
    <row r="385" customFormat="false" ht="17.6" hidden="false" customHeight="false" outlineLevel="0" collapsed="false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15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9"/>
      <c r="AT385" s="9"/>
      <c r="AU385" s="9"/>
      <c r="AV385" s="9"/>
      <c r="AW385" s="9"/>
    </row>
    <row r="386" customFormat="false" ht="17.6" hidden="false" customHeight="false" outlineLevel="0" collapsed="false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15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9"/>
      <c r="AT386" s="9"/>
      <c r="AU386" s="9"/>
      <c r="AV386" s="9"/>
      <c r="AW386" s="9"/>
    </row>
    <row r="387" customFormat="false" ht="17.6" hidden="false" customHeight="false" outlineLevel="0" collapsed="false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15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  <c r="AT387" s="9"/>
      <c r="AU387" s="9"/>
      <c r="AV387" s="9"/>
      <c r="AW387" s="9"/>
    </row>
    <row r="388" customFormat="false" ht="17.6" hidden="false" customHeight="false" outlineLevel="0" collapsed="false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15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  <c r="AT388" s="9"/>
      <c r="AU388" s="9"/>
      <c r="AV388" s="9"/>
      <c r="AW388" s="9"/>
    </row>
    <row r="389" customFormat="false" ht="17.6" hidden="false" customHeight="false" outlineLevel="0" collapsed="false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15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  <c r="AT389" s="9"/>
      <c r="AU389" s="9"/>
      <c r="AV389" s="9"/>
      <c r="AW389" s="9"/>
    </row>
    <row r="390" customFormat="false" ht="17.6" hidden="false" customHeight="false" outlineLevel="0" collapsed="false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15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  <c r="AS390" s="9"/>
      <c r="AT390" s="9"/>
      <c r="AU390" s="9"/>
      <c r="AV390" s="9"/>
      <c r="AW390" s="9"/>
    </row>
    <row r="391" customFormat="false" ht="17.6" hidden="false" customHeight="false" outlineLevel="0" collapsed="false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15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9"/>
      <c r="AS391" s="9"/>
      <c r="AT391" s="9"/>
      <c r="AU391" s="9"/>
      <c r="AV391" s="9"/>
      <c r="AW391" s="9"/>
    </row>
    <row r="392" customFormat="false" ht="17.6" hidden="false" customHeight="false" outlineLevel="0" collapsed="false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15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  <c r="AS392" s="9"/>
      <c r="AT392" s="9"/>
      <c r="AU392" s="9"/>
      <c r="AV392" s="9"/>
      <c r="AW392" s="9"/>
    </row>
    <row r="393" customFormat="false" ht="17.6" hidden="false" customHeight="false" outlineLevel="0" collapsed="false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15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  <c r="AS393" s="9"/>
      <c r="AT393" s="9"/>
      <c r="AU393" s="9"/>
      <c r="AV393" s="9"/>
      <c r="AW393" s="9"/>
    </row>
    <row r="394" customFormat="false" ht="17.6" hidden="false" customHeight="false" outlineLevel="0" collapsed="false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15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  <c r="AS394" s="9"/>
      <c r="AT394" s="9"/>
      <c r="AU394" s="9"/>
      <c r="AV394" s="9"/>
      <c r="AW394" s="9"/>
    </row>
    <row r="395" customFormat="false" ht="17.6" hidden="false" customHeight="false" outlineLevel="0" collapsed="false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15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9"/>
      <c r="AT395" s="9"/>
      <c r="AU395" s="9"/>
      <c r="AV395" s="9"/>
      <c r="AW395" s="9"/>
    </row>
    <row r="396" customFormat="false" ht="17.6" hidden="false" customHeight="false" outlineLevel="0" collapsed="false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15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  <c r="AR396" s="9"/>
      <c r="AS396" s="9"/>
      <c r="AT396" s="9"/>
      <c r="AU396" s="9"/>
      <c r="AV396" s="9"/>
      <c r="AW396" s="9"/>
    </row>
    <row r="397" customFormat="false" ht="17.6" hidden="false" customHeight="false" outlineLevel="0" collapsed="false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15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  <c r="AR397" s="9"/>
      <c r="AS397" s="9"/>
      <c r="AT397" s="9"/>
      <c r="AU397" s="9"/>
      <c r="AV397" s="9"/>
      <c r="AW397" s="9"/>
    </row>
    <row r="398" customFormat="false" ht="17.6" hidden="false" customHeight="false" outlineLevel="0" collapsed="false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15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9"/>
      <c r="AT398" s="9"/>
      <c r="AU398" s="9"/>
      <c r="AV398" s="9"/>
      <c r="AW398" s="9"/>
    </row>
    <row r="399" customFormat="false" ht="17.6" hidden="false" customHeight="false" outlineLevel="0" collapsed="false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15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/>
      <c r="AT399" s="9"/>
      <c r="AU399" s="9"/>
      <c r="AV399" s="9"/>
      <c r="AW399" s="9"/>
    </row>
    <row r="400" customFormat="false" ht="17.6" hidden="false" customHeight="false" outlineLevel="0" collapsed="false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15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  <c r="AT400" s="9"/>
      <c r="AU400" s="9"/>
      <c r="AV400" s="9"/>
      <c r="AW400" s="9"/>
    </row>
    <row r="401" customFormat="false" ht="17.6" hidden="false" customHeight="false" outlineLevel="0" collapsed="false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15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  <c r="AR401" s="9"/>
      <c r="AS401" s="9"/>
      <c r="AT401" s="9"/>
      <c r="AU401" s="9"/>
      <c r="AV401" s="9"/>
      <c r="AW401" s="9"/>
    </row>
    <row r="402" customFormat="false" ht="17.6" hidden="false" customHeight="false" outlineLevel="0" collapsed="false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15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  <c r="AR402" s="9"/>
      <c r="AS402" s="9"/>
      <c r="AT402" s="9"/>
      <c r="AU402" s="9"/>
      <c r="AV402" s="9"/>
      <c r="AW402" s="9"/>
    </row>
    <row r="403" customFormat="false" ht="17.6" hidden="false" customHeight="false" outlineLevel="0" collapsed="false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15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  <c r="AR403" s="9"/>
      <c r="AS403" s="9"/>
      <c r="AT403" s="9"/>
      <c r="AU403" s="9"/>
      <c r="AV403" s="9"/>
      <c r="AW403" s="9"/>
    </row>
    <row r="404" customFormat="false" ht="17.6" hidden="false" customHeight="false" outlineLevel="0" collapsed="false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15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  <c r="AR404" s="9"/>
      <c r="AS404" s="9"/>
      <c r="AT404" s="9"/>
      <c r="AU404" s="9"/>
      <c r="AV404" s="9"/>
      <c r="AW404" s="9"/>
    </row>
    <row r="405" customFormat="false" ht="17.6" hidden="false" customHeight="false" outlineLevel="0" collapsed="false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15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  <c r="AS405" s="9"/>
      <c r="AT405" s="9"/>
      <c r="AU405" s="9"/>
      <c r="AV405" s="9"/>
      <c r="AW405" s="9"/>
    </row>
    <row r="406" customFormat="false" ht="17.6" hidden="false" customHeight="false" outlineLevel="0" collapsed="false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15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9"/>
      <c r="AS406" s="9"/>
      <c r="AT406" s="9"/>
      <c r="AU406" s="9"/>
      <c r="AV406" s="9"/>
      <c r="AW406" s="9"/>
    </row>
    <row r="407" customFormat="false" ht="17.6" hidden="false" customHeight="false" outlineLevel="0" collapsed="false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15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  <c r="AS407" s="9"/>
      <c r="AT407" s="9"/>
      <c r="AU407" s="9"/>
      <c r="AV407" s="9"/>
      <c r="AW407" s="9"/>
    </row>
    <row r="408" customFormat="false" ht="17.6" hidden="false" customHeight="false" outlineLevel="0" collapsed="false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15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  <c r="AR408" s="9"/>
      <c r="AS408" s="9"/>
      <c r="AT408" s="9"/>
      <c r="AU408" s="9"/>
      <c r="AV408" s="9"/>
      <c r="AW408" s="9"/>
    </row>
    <row r="409" customFormat="false" ht="17.6" hidden="false" customHeight="false" outlineLevel="0" collapsed="false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15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  <c r="AR409" s="9"/>
      <c r="AS409" s="9"/>
      <c r="AT409" s="9"/>
      <c r="AU409" s="9"/>
      <c r="AV409" s="9"/>
      <c r="AW409" s="9"/>
    </row>
    <row r="410" customFormat="false" ht="17.6" hidden="false" customHeight="false" outlineLevel="0" collapsed="false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15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  <c r="AR410" s="9"/>
      <c r="AS410" s="9"/>
      <c r="AT410" s="9"/>
      <c r="AU410" s="9"/>
      <c r="AV410" s="9"/>
      <c r="AW410" s="9"/>
    </row>
    <row r="411" customFormat="false" ht="17.6" hidden="false" customHeight="false" outlineLevel="0" collapsed="false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15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  <c r="AR411" s="9"/>
      <c r="AS411" s="9"/>
      <c r="AT411" s="9"/>
      <c r="AU411" s="9"/>
      <c r="AV411" s="9"/>
      <c r="AW411" s="9"/>
    </row>
    <row r="412" customFormat="false" ht="17.6" hidden="false" customHeight="false" outlineLevel="0" collapsed="false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15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9"/>
      <c r="AS412" s="9"/>
      <c r="AT412" s="9"/>
      <c r="AU412" s="9"/>
      <c r="AV412" s="9"/>
      <c r="AW412" s="9"/>
    </row>
    <row r="413" customFormat="false" ht="17.6" hidden="false" customHeight="false" outlineLevel="0" collapsed="false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15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  <c r="AP413" s="9"/>
      <c r="AQ413" s="9"/>
      <c r="AR413" s="9"/>
      <c r="AS413" s="9"/>
      <c r="AT413" s="9"/>
      <c r="AU413" s="9"/>
      <c r="AV413" s="9"/>
      <c r="AW413" s="9"/>
    </row>
    <row r="414" customFormat="false" ht="17.6" hidden="false" customHeight="false" outlineLevel="0" collapsed="false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15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/>
      <c r="AQ414" s="9"/>
      <c r="AR414" s="9"/>
      <c r="AS414" s="9"/>
      <c r="AT414" s="9"/>
      <c r="AU414" s="9"/>
      <c r="AV414" s="9"/>
      <c r="AW414" s="9"/>
    </row>
    <row r="415" customFormat="false" ht="17.6" hidden="false" customHeight="false" outlineLevel="0" collapsed="false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15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  <c r="AP415" s="9"/>
      <c r="AQ415" s="9"/>
      <c r="AR415" s="9"/>
      <c r="AS415" s="9"/>
      <c r="AT415" s="9"/>
      <c r="AU415" s="9"/>
      <c r="AV415" s="9"/>
      <c r="AW415" s="9"/>
    </row>
    <row r="416" customFormat="false" ht="17.6" hidden="false" customHeight="false" outlineLevel="0" collapsed="false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15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9"/>
      <c r="AP416" s="9"/>
      <c r="AQ416" s="9"/>
      <c r="AR416" s="9"/>
      <c r="AS416" s="9"/>
      <c r="AT416" s="9"/>
      <c r="AU416" s="9"/>
      <c r="AV416" s="9"/>
      <c r="AW416" s="9"/>
    </row>
    <row r="417" customFormat="false" ht="17.6" hidden="false" customHeight="false" outlineLevel="0" collapsed="false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15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9"/>
      <c r="AP417" s="9"/>
      <c r="AQ417" s="9"/>
      <c r="AR417" s="9"/>
      <c r="AS417" s="9"/>
      <c r="AT417" s="9"/>
      <c r="AU417" s="9"/>
      <c r="AV417" s="9"/>
      <c r="AW417" s="9"/>
    </row>
    <row r="418" customFormat="false" ht="17.6" hidden="false" customHeight="false" outlineLevel="0" collapsed="false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15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9"/>
      <c r="AP418" s="9"/>
      <c r="AQ418" s="9"/>
      <c r="AR418" s="9"/>
      <c r="AS418" s="9"/>
      <c r="AT418" s="9"/>
      <c r="AU418" s="9"/>
      <c r="AV418" s="9"/>
      <c r="AW418" s="9"/>
    </row>
    <row r="419" customFormat="false" ht="17.6" hidden="false" customHeight="false" outlineLevel="0" collapsed="false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15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9"/>
      <c r="AP419" s="9"/>
      <c r="AQ419" s="9"/>
      <c r="AR419" s="9"/>
      <c r="AS419" s="9"/>
      <c r="AT419" s="9"/>
      <c r="AU419" s="9"/>
      <c r="AV419" s="9"/>
      <c r="AW419" s="9"/>
    </row>
    <row r="420" customFormat="false" ht="17.6" hidden="false" customHeight="false" outlineLevel="0" collapsed="false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15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9"/>
      <c r="AN420" s="9"/>
      <c r="AO420" s="9"/>
      <c r="AP420" s="9"/>
      <c r="AQ420" s="9"/>
      <c r="AR420" s="9"/>
      <c r="AS420" s="9"/>
      <c r="AT420" s="9"/>
      <c r="AU420" s="9"/>
      <c r="AV420" s="9"/>
      <c r="AW420" s="9"/>
    </row>
    <row r="421" customFormat="false" ht="17.6" hidden="false" customHeight="false" outlineLevel="0" collapsed="false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15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9"/>
      <c r="AN421" s="9"/>
      <c r="AO421" s="9"/>
      <c r="AP421" s="9"/>
      <c r="AQ421" s="9"/>
      <c r="AR421" s="9"/>
      <c r="AS421" s="9"/>
      <c r="AT421" s="9"/>
      <c r="AU421" s="9"/>
      <c r="AV421" s="9"/>
      <c r="AW421" s="9"/>
    </row>
    <row r="422" customFormat="false" ht="17.6" hidden="false" customHeight="false" outlineLevel="0" collapsed="false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15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9"/>
      <c r="AN422" s="9"/>
      <c r="AO422" s="9"/>
      <c r="AP422" s="9"/>
      <c r="AQ422" s="9"/>
      <c r="AR422" s="9"/>
      <c r="AS422" s="9"/>
      <c r="AT422" s="9"/>
      <c r="AU422" s="9"/>
      <c r="AV422" s="9"/>
      <c r="AW422" s="9"/>
    </row>
    <row r="423" customFormat="false" ht="17.6" hidden="false" customHeight="false" outlineLevel="0" collapsed="false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15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9"/>
      <c r="AN423" s="9"/>
      <c r="AO423" s="9"/>
      <c r="AP423" s="9"/>
      <c r="AQ423" s="9"/>
      <c r="AR423" s="9"/>
      <c r="AS423" s="9"/>
      <c r="AT423" s="9"/>
      <c r="AU423" s="9"/>
      <c r="AV423" s="9"/>
      <c r="AW423" s="9"/>
    </row>
    <row r="424" customFormat="false" ht="17.6" hidden="false" customHeight="false" outlineLevel="0" collapsed="false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15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9"/>
      <c r="AN424" s="9"/>
      <c r="AO424" s="9"/>
      <c r="AP424" s="9"/>
      <c r="AQ424" s="9"/>
      <c r="AR424" s="9"/>
      <c r="AS424" s="9"/>
      <c r="AT424" s="9"/>
      <c r="AU424" s="9"/>
      <c r="AV424" s="9"/>
      <c r="AW424" s="9"/>
    </row>
    <row r="425" customFormat="false" ht="17.6" hidden="false" customHeight="false" outlineLevel="0" collapsed="false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15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9"/>
      <c r="AN425" s="9"/>
      <c r="AO425" s="9"/>
      <c r="AP425" s="9"/>
      <c r="AQ425" s="9"/>
      <c r="AR425" s="9"/>
      <c r="AS425" s="9"/>
      <c r="AT425" s="9"/>
      <c r="AU425" s="9"/>
      <c r="AV425" s="9"/>
      <c r="AW425" s="9"/>
    </row>
    <row r="426" customFormat="false" ht="17.6" hidden="false" customHeight="false" outlineLevel="0" collapsed="false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15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9"/>
      <c r="AP426" s="9"/>
      <c r="AQ426" s="9"/>
      <c r="AR426" s="9"/>
      <c r="AS426" s="9"/>
      <c r="AT426" s="9"/>
      <c r="AU426" s="9"/>
      <c r="AV426" s="9"/>
      <c r="AW426" s="9"/>
    </row>
    <row r="427" customFormat="false" ht="17.6" hidden="false" customHeight="false" outlineLevel="0" collapsed="false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15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9"/>
      <c r="AN427" s="9"/>
      <c r="AO427" s="9"/>
      <c r="AP427" s="9"/>
      <c r="AQ427" s="9"/>
      <c r="AR427" s="9"/>
      <c r="AS427" s="9"/>
      <c r="AT427" s="9"/>
      <c r="AU427" s="9"/>
      <c r="AV427" s="9"/>
      <c r="AW427" s="9"/>
    </row>
    <row r="428" customFormat="false" ht="17.6" hidden="false" customHeight="false" outlineLevel="0" collapsed="false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15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9"/>
      <c r="AP428" s="9"/>
      <c r="AQ428" s="9"/>
      <c r="AR428" s="9"/>
      <c r="AS428" s="9"/>
      <c r="AT428" s="9"/>
      <c r="AU428" s="9"/>
      <c r="AV428" s="9"/>
      <c r="AW428" s="9"/>
    </row>
    <row r="429" customFormat="false" ht="17.6" hidden="false" customHeight="false" outlineLevel="0" collapsed="false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15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9"/>
      <c r="AN429" s="9"/>
      <c r="AO429" s="9"/>
      <c r="AP429" s="9"/>
      <c r="AQ429" s="9"/>
      <c r="AR429" s="9"/>
      <c r="AS429" s="9"/>
      <c r="AT429" s="9"/>
      <c r="AU429" s="9"/>
      <c r="AV429" s="9"/>
      <c r="AW429" s="9"/>
    </row>
    <row r="430" customFormat="false" ht="17.6" hidden="false" customHeight="false" outlineLevel="0" collapsed="false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15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9"/>
      <c r="AN430" s="9"/>
      <c r="AO430" s="9"/>
      <c r="AP430" s="9"/>
      <c r="AQ430" s="9"/>
      <c r="AR430" s="9"/>
      <c r="AS430" s="9"/>
      <c r="AT430" s="9"/>
      <c r="AU430" s="9"/>
      <c r="AV430" s="9"/>
      <c r="AW430" s="9"/>
    </row>
    <row r="431" customFormat="false" ht="17.6" hidden="false" customHeight="false" outlineLevel="0" collapsed="false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15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M431" s="9"/>
      <c r="AN431" s="9"/>
      <c r="AO431" s="9"/>
      <c r="AP431" s="9"/>
      <c r="AQ431" s="9"/>
      <c r="AR431" s="9"/>
      <c r="AS431" s="9"/>
      <c r="AT431" s="9"/>
      <c r="AU431" s="9"/>
      <c r="AV431" s="9"/>
      <c r="AW431" s="9"/>
    </row>
    <row r="432" customFormat="false" ht="17.6" hidden="false" customHeight="false" outlineLevel="0" collapsed="false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15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9"/>
      <c r="AN432" s="9"/>
      <c r="AO432" s="9"/>
      <c r="AP432" s="9"/>
      <c r="AQ432" s="9"/>
      <c r="AR432" s="9"/>
      <c r="AS432" s="9"/>
      <c r="AT432" s="9"/>
      <c r="AU432" s="9"/>
      <c r="AV432" s="9"/>
      <c r="AW432" s="9"/>
    </row>
    <row r="433" customFormat="false" ht="17.6" hidden="false" customHeight="false" outlineLevel="0" collapsed="false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15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  <c r="AM433" s="9"/>
      <c r="AN433" s="9"/>
      <c r="AO433" s="9"/>
      <c r="AP433" s="9"/>
      <c r="AQ433" s="9"/>
      <c r="AR433" s="9"/>
      <c r="AS433" s="9"/>
      <c r="AT433" s="9"/>
      <c r="AU433" s="9"/>
      <c r="AV433" s="9"/>
      <c r="AW433" s="9"/>
    </row>
    <row r="434" customFormat="false" ht="17.6" hidden="false" customHeight="false" outlineLevel="0" collapsed="false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15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M434" s="9"/>
      <c r="AN434" s="9"/>
      <c r="AO434" s="9"/>
      <c r="AP434" s="9"/>
      <c r="AQ434" s="9"/>
      <c r="AR434" s="9"/>
      <c r="AS434" s="9"/>
      <c r="AT434" s="9"/>
      <c r="AU434" s="9"/>
      <c r="AV434" s="9"/>
      <c r="AW434" s="9"/>
    </row>
    <row r="435" customFormat="false" ht="17.6" hidden="false" customHeight="false" outlineLevel="0" collapsed="false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15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9"/>
      <c r="AM435" s="9"/>
      <c r="AN435" s="9"/>
      <c r="AO435" s="9"/>
      <c r="AP435" s="9"/>
      <c r="AQ435" s="9"/>
      <c r="AR435" s="9"/>
      <c r="AS435" s="9"/>
      <c r="AT435" s="9"/>
      <c r="AU435" s="9"/>
      <c r="AV435" s="9"/>
      <c r="AW435" s="9"/>
    </row>
    <row r="436" customFormat="false" ht="17.6" hidden="false" customHeight="false" outlineLevel="0" collapsed="false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15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9"/>
      <c r="AN436" s="9"/>
      <c r="AO436" s="9"/>
      <c r="AP436" s="9"/>
      <c r="AQ436" s="9"/>
      <c r="AR436" s="9"/>
      <c r="AS436" s="9"/>
      <c r="AT436" s="9"/>
      <c r="AU436" s="9"/>
      <c r="AV436" s="9"/>
      <c r="AW436" s="9"/>
    </row>
    <row r="437" customFormat="false" ht="17.6" hidden="false" customHeight="false" outlineLevel="0" collapsed="false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15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  <c r="AM437" s="9"/>
      <c r="AN437" s="9"/>
      <c r="AO437" s="9"/>
      <c r="AP437" s="9"/>
      <c r="AQ437" s="9"/>
      <c r="AR437" s="9"/>
      <c r="AS437" s="9"/>
      <c r="AT437" s="9"/>
      <c r="AU437" s="9"/>
      <c r="AV437" s="9"/>
      <c r="AW437" s="9"/>
    </row>
    <row r="438" customFormat="false" ht="17.6" hidden="false" customHeight="false" outlineLevel="0" collapsed="false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15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9"/>
      <c r="AP438" s="9"/>
      <c r="AQ438" s="9"/>
      <c r="AR438" s="9"/>
      <c r="AS438" s="9"/>
      <c r="AT438" s="9"/>
      <c r="AU438" s="9"/>
      <c r="AV438" s="9"/>
      <c r="AW438" s="9"/>
    </row>
    <row r="439" customFormat="false" ht="17.6" hidden="false" customHeight="false" outlineLevel="0" collapsed="false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15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9"/>
      <c r="AN439" s="9"/>
      <c r="AO439" s="9"/>
      <c r="AP439" s="9"/>
      <c r="AQ439" s="9"/>
      <c r="AR439" s="9"/>
      <c r="AS439" s="9"/>
      <c r="AT439" s="9"/>
      <c r="AU439" s="9"/>
      <c r="AV439" s="9"/>
      <c r="AW439" s="9"/>
    </row>
    <row r="440" customFormat="false" ht="17.6" hidden="false" customHeight="false" outlineLevel="0" collapsed="false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15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9"/>
      <c r="AP440" s="9"/>
      <c r="AQ440" s="9"/>
      <c r="AR440" s="9"/>
      <c r="AS440" s="9"/>
      <c r="AT440" s="9"/>
      <c r="AU440" s="9"/>
      <c r="AV440" s="9"/>
      <c r="AW440" s="9"/>
    </row>
    <row r="441" customFormat="false" ht="17.6" hidden="false" customHeight="false" outlineLevel="0" collapsed="false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15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9"/>
      <c r="AN441" s="9"/>
      <c r="AO441" s="9"/>
      <c r="AP441" s="9"/>
      <c r="AQ441" s="9"/>
      <c r="AR441" s="9"/>
      <c r="AS441" s="9"/>
      <c r="AT441" s="9"/>
      <c r="AU441" s="9"/>
      <c r="AV441" s="9"/>
      <c r="AW441" s="9"/>
    </row>
    <row r="442" customFormat="false" ht="17.6" hidden="false" customHeight="false" outlineLevel="0" collapsed="false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15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9"/>
      <c r="AP442" s="9"/>
      <c r="AQ442" s="9"/>
      <c r="AR442" s="9"/>
      <c r="AS442" s="9"/>
      <c r="AT442" s="9"/>
      <c r="AU442" s="9"/>
      <c r="AV442" s="9"/>
      <c r="AW442" s="9"/>
    </row>
    <row r="443" customFormat="false" ht="17.6" hidden="false" customHeight="false" outlineLevel="0" collapsed="false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15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9"/>
      <c r="AN443" s="9"/>
      <c r="AO443" s="9"/>
      <c r="AP443" s="9"/>
      <c r="AQ443" s="9"/>
      <c r="AR443" s="9"/>
      <c r="AS443" s="9"/>
      <c r="AT443" s="9"/>
      <c r="AU443" s="9"/>
      <c r="AV443" s="9"/>
      <c r="AW443" s="9"/>
    </row>
    <row r="444" customFormat="false" ht="17.6" hidden="false" customHeight="false" outlineLevel="0" collapsed="false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15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9"/>
      <c r="AN444" s="9"/>
      <c r="AO444" s="9"/>
      <c r="AP444" s="9"/>
      <c r="AQ444" s="9"/>
      <c r="AR444" s="9"/>
      <c r="AS444" s="9"/>
      <c r="AT444" s="9"/>
      <c r="AU444" s="9"/>
      <c r="AV444" s="9"/>
      <c r="AW444" s="9"/>
    </row>
    <row r="445" customFormat="false" ht="17.6" hidden="false" customHeight="false" outlineLevel="0" collapsed="false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15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9"/>
      <c r="AN445" s="9"/>
      <c r="AO445" s="9"/>
      <c r="AP445" s="9"/>
      <c r="AQ445" s="9"/>
      <c r="AR445" s="9"/>
      <c r="AS445" s="9"/>
      <c r="AT445" s="9"/>
      <c r="AU445" s="9"/>
      <c r="AV445" s="9"/>
      <c r="AW445" s="9"/>
    </row>
    <row r="446" customFormat="false" ht="17.6" hidden="false" customHeight="false" outlineLevel="0" collapsed="false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15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9"/>
      <c r="AN446" s="9"/>
      <c r="AO446" s="9"/>
      <c r="AP446" s="9"/>
      <c r="AQ446" s="9"/>
      <c r="AR446" s="9"/>
      <c r="AS446" s="9"/>
      <c r="AT446" s="9"/>
      <c r="AU446" s="9"/>
      <c r="AV446" s="9"/>
      <c r="AW446" s="9"/>
    </row>
    <row r="447" customFormat="false" ht="17.6" hidden="false" customHeight="false" outlineLevel="0" collapsed="false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15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9"/>
      <c r="AN447" s="9"/>
      <c r="AO447" s="9"/>
      <c r="AP447" s="9"/>
      <c r="AQ447" s="9"/>
      <c r="AR447" s="9"/>
      <c r="AS447" s="9"/>
      <c r="AT447" s="9"/>
      <c r="AU447" s="9"/>
      <c r="AV447" s="9"/>
      <c r="AW447" s="9"/>
    </row>
    <row r="448" customFormat="false" ht="17.6" hidden="false" customHeight="false" outlineLevel="0" collapsed="false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15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  <c r="AN448" s="9"/>
      <c r="AO448" s="9"/>
      <c r="AP448" s="9"/>
      <c r="AQ448" s="9"/>
      <c r="AR448" s="9"/>
      <c r="AS448" s="9"/>
      <c r="AT448" s="9"/>
      <c r="AU448" s="9"/>
      <c r="AV448" s="9"/>
      <c r="AW448" s="9"/>
    </row>
    <row r="449" customFormat="false" ht="17.6" hidden="false" customHeight="false" outlineLevel="0" collapsed="false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15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9"/>
      <c r="AP449" s="9"/>
      <c r="AQ449" s="9"/>
      <c r="AR449" s="9"/>
      <c r="AS449" s="9"/>
      <c r="AT449" s="9"/>
      <c r="AU449" s="9"/>
      <c r="AV449" s="9"/>
      <c r="AW449" s="9"/>
    </row>
    <row r="450" customFormat="false" ht="17.6" hidden="false" customHeight="false" outlineLevel="0" collapsed="false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15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9"/>
      <c r="AP450" s="9"/>
      <c r="AQ450" s="9"/>
      <c r="AR450" s="9"/>
      <c r="AS450" s="9"/>
      <c r="AT450" s="9"/>
      <c r="AU450" s="9"/>
      <c r="AV450" s="9"/>
      <c r="AW450" s="9"/>
    </row>
    <row r="451" customFormat="false" ht="17.6" hidden="false" customHeight="false" outlineLevel="0" collapsed="false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15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9"/>
      <c r="AP451" s="9"/>
      <c r="AQ451" s="9"/>
      <c r="AR451" s="9"/>
      <c r="AS451" s="9"/>
      <c r="AT451" s="9"/>
      <c r="AU451" s="9"/>
      <c r="AV451" s="9"/>
      <c r="AW451" s="9"/>
    </row>
    <row r="452" customFormat="false" ht="17.6" hidden="false" customHeight="false" outlineLevel="0" collapsed="false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15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9"/>
      <c r="AN452" s="9"/>
      <c r="AO452" s="9"/>
      <c r="AP452" s="9"/>
      <c r="AQ452" s="9"/>
      <c r="AR452" s="9"/>
      <c r="AS452" s="9"/>
      <c r="AT452" s="9"/>
      <c r="AU452" s="9"/>
      <c r="AV452" s="9"/>
      <c r="AW452" s="9"/>
    </row>
    <row r="453" customFormat="false" ht="17.6" hidden="false" customHeight="false" outlineLevel="0" collapsed="false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15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9"/>
      <c r="AP453" s="9"/>
      <c r="AQ453" s="9"/>
      <c r="AR453" s="9"/>
      <c r="AS453" s="9"/>
      <c r="AT453" s="9"/>
      <c r="AU453" s="9"/>
      <c r="AV453" s="9"/>
      <c r="AW453" s="9"/>
    </row>
    <row r="454" customFormat="false" ht="17.6" hidden="false" customHeight="false" outlineLevel="0" collapsed="false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15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9"/>
      <c r="AN454" s="9"/>
      <c r="AO454" s="9"/>
      <c r="AP454" s="9"/>
      <c r="AQ454" s="9"/>
      <c r="AR454" s="9"/>
      <c r="AS454" s="9"/>
      <c r="AT454" s="9"/>
      <c r="AU454" s="9"/>
      <c r="AV454" s="9"/>
      <c r="AW454" s="9"/>
    </row>
    <row r="455" customFormat="false" ht="17.6" hidden="false" customHeight="false" outlineLevel="0" collapsed="false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15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9"/>
      <c r="AN455" s="9"/>
      <c r="AO455" s="9"/>
      <c r="AP455" s="9"/>
      <c r="AQ455" s="9"/>
      <c r="AR455" s="9"/>
      <c r="AS455" s="9"/>
      <c r="AT455" s="9"/>
      <c r="AU455" s="9"/>
      <c r="AV455" s="9"/>
      <c r="AW455" s="9"/>
    </row>
    <row r="456" customFormat="false" ht="17.6" hidden="false" customHeight="false" outlineLevel="0" collapsed="false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15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  <c r="AN456" s="9"/>
      <c r="AO456" s="9"/>
      <c r="AP456" s="9"/>
      <c r="AQ456" s="9"/>
      <c r="AR456" s="9"/>
      <c r="AS456" s="9"/>
      <c r="AT456" s="9"/>
      <c r="AU456" s="9"/>
      <c r="AV456" s="9"/>
      <c r="AW456" s="9"/>
    </row>
    <row r="457" customFormat="false" ht="17.6" hidden="false" customHeight="false" outlineLevel="0" collapsed="false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15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  <c r="AN457" s="9"/>
      <c r="AO457" s="9"/>
      <c r="AP457" s="9"/>
      <c r="AQ457" s="9"/>
      <c r="AR457" s="9"/>
      <c r="AS457" s="9"/>
      <c r="AT457" s="9"/>
      <c r="AU457" s="9"/>
      <c r="AV457" s="9"/>
      <c r="AW457" s="9"/>
    </row>
    <row r="458" customFormat="false" ht="17.6" hidden="false" customHeight="false" outlineLevel="0" collapsed="false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15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9"/>
      <c r="AP458" s="9"/>
      <c r="AQ458" s="9"/>
      <c r="AR458" s="9"/>
      <c r="AS458" s="9"/>
      <c r="AT458" s="9"/>
      <c r="AU458" s="9"/>
      <c r="AV458" s="9"/>
      <c r="AW458" s="9"/>
    </row>
    <row r="459" customFormat="false" ht="17.6" hidden="false" customHeight="false" outlineLevel="0" collapsed="false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15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9"/>
      <c r="AP459" s="9"/>
      <c r="AQ459" s="9"/>
      <c r="AR459" s="9"/>
      <c r="AS459" s="9"/>
      <c r="AT459" s="9"/>
      <c r="AU459" s="9"/>
      <c r="AV459" s="9"/>
      <c r="AW459" s="9"/>
    </row>
    <row r="460" customFormat="false" ht="17.6" hidden="false" customHeight="false" outlineLevel="0" collapsed="false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15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9"/>
      <c r="AP460" s="9"/>
      <c r="AQ460" s="9"/>
      <c r="AR460" s="9"/>
      <c r="AS460" s="9"/>
      <c r="AT460" s="9"/>
      <c r="AU460" s="9"/>
      <c r="AV460" s="9"/>
      <c r="AW460" s="9"/>
    </row>
    <row r="461" customFormat="false" ht="17.6" hidden="false" customHeight="false" outlineLevel="0" collapsed="false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15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M461" s="9"/>
      <c r="AN461" s="9"/>
      <c r="AO461" s="9"/>
      <c r="AP461" s="9"/>
      <c r="AQ461" s="9"/>
      <c r="AR461" s="9"/>
      <c r="AS461" s="9"/>
      <c r="AT461" s="9"/>
      <c r="AU461" s="9"/>
      <c r="AV461" s="9"/>
      <c r="AW461" s="9"/>
    </row>
    <row r="462" customFormat="false" ht="17.6" hidden="false" customHeight="false" outlineLevel="0" collapsed="false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15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9"/>
      <c r="AP462" s="9"/>
      <c r="AQ462" s="9"/>
      <c r="AR462" s="9"/>
      <c r="AS462" s="9"/>
      <c r="AT462" s="9"/>
      <c r="AU462" s="9"/>
      <c r="AV462" s="9"/>
      <c r="AW462" s="9"/>
    </row>
    <row r="463" customFormat="false" ht="17.6" hidden="false" customHeight="false" outlineLevel="0" collapsed="false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15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9"/>
      <c r="AN463" s="9"/>
      <c r="AO463" s="9"/>
      <c r="AP463" s="9"/>
      <c r="AQ463" s="9"/>
      <c r="AR463" s="9"/>
      <c r="AS463" s="9"/>
      <c r="AT463" s="9"/>
      <c r="AU463" s="9"/>
      <c r="AV463" s="9"/>
      <c r="AW463" s="9"/>
    </row>
    <row r="464" customFormat="false" ht="17.6" hidden="false" customHeight="false" outlineLevel="0" collapsed="false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15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9"/>
      <c r="AP464" s="9"/>
      <c r="AQ464" s="9"/>
      <c r="AR464" s="9"/>
      <c r="AS464" s="9"/>
      <c r="AT464" s="9"/>
      <c r="AU464" s="9"/>
      <c r="AV464" s="9"/>
      <c r="AW464" s="9"/>
    </row>
    <row r="465" customFormat="false" ht="17.6" hidden="false" customHeight="false" outlineLevel="0" collapsed="false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15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  <c r="AN465" s="9"/>
      <c r="AO465" s="9"/>
      <c r="AP465" s="9"/>
      <c r="AQ465" s="9"/>
      <c r="AR465" s="9"/>
      <c r="AS465" s="9"/>
      <c r="AT465" s="9"/>
      <c r="AU465" s="9"/>
      <c r="AV465" s="9"/>
      <c r="AW465" s="9"/>
    </row>
    <row r="466" customFormat="false" ht="17.6" hidden="false" customHeight="false" outlineLevel="0" collapsed="false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15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9"/>
      <c r="AN466" s="9"/>
      <c r="AO466" s="9"/>
      <c r="AP466" s="9"/>
      <c r="AQ466" s="9"/>
      <c r="AR466" s="9"/>
      <c r="AS466" s="9"/>
      <c r="AT466" s="9"/>
      <c r="AU466" s="9"/>
      <c r="AV466" s="9"/>
      <c r="AW466" s="9"/>
    </row>
    <row r="467" customFormat="false" ht="17.6" hidden="false" customHeight="false" outlineLevel="0" collapsed="false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15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M467" s="9"/>
      <c r="AN467" s="9"/>
      <c r="AO467" s="9"/>
      <c r="AP467" s="9"/>
      <c r="AQ467" s="9"/>
      <c r="AR467" s="9"/>
      <c r="AS467" s="9"/>
      <c r="AT467" s="9"/>
      <c r="AU467" s="9"/>
      <c r="AV467" s="9"/>
      <c r="AW467" s="9"/>
    </row>
    <row r="468" customFormat="false" ht="17.6" hidden="false" customHeight="false" outlineLevel="0" collapsed="false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15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9"/>
      <c r="AN468" s="9"/>
      <c r="AO468" s="9"/>
      <c r="AP468" s="9"/>
      <c r="AQ468" s="9"/>
      <c r="AR468" s="9"/>
      <c r="AS468" s="9"/>
      <c r="AT468" s="9"/>
      <c r="AU468" s="9"/>
      <c r="AV468" s="9"/>
      <c r="AW468" s="9"/>
    </row>
    <row r="469" customFormat="false" ht="17.6" hidden="false" customHeight="false" outlineLevel="0" collapsed="false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15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  <c r="AM469" s="9"/>
      <c r="AN469" s="9"/>
      <c r="AO469" s="9"/>
      <c r="AP469" s="9"/>
      <c r="AQ469" s="9"/>
      <c r="AR469" s="9"/>
      <c r="AS469" s="9"/>
      <c r="AT469" s="9"/>
      <c r="AU469" s="9"/>
      <c r="AV469" s="9"/>
      <c r="AW469" s="9"/>
    </row>
    <row r="470" customFormat="false" ht="17.6" hidden="false" customHeight="false" outlineLevel="0" collapsed="false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15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M470" s="9"/>
      <c r="AN470" s="9"/>
      <c r="AO470" s="9"/>
      <c r="AP470" s="9"/>
      <c r="AQ470" s="9"/>
      <c r="AR470" s="9"/>
      <c r="AS470" s="9"/>
      <c r="AT470" s="9"/>
      <c r="AU470" s="9"/>
      <c r="AV470" s="9"/>
      <c r="AW470" s="9"/>
    </row>
    <row r="471" customFormat="false" ht="17.6" hidden="false" customHeight="false" outlineLevel="0" collapsed="false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15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9"/>
      <c r="AN471" s="9"/>
      <c r="AO471" s="9"/>
      <c r="AP471" s="9"/>
      <c r="AQ471" s="9"/>
      <c r="AR471" s="9"/>
      <c r="AS471" s="9"/>
      <c r="AT471" s="9"/>
      <c r="AU471" s="9"/>
      <c r="AV471" s="9"/>
      <c r="AW471" s="9"/>
    </row>
    <row r="472" customFormat="false" ht="17.6" hidden="false" customHeight="false" outlineLevel="0" collapsed="false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15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9"/>
      <c r="AN472" s="9"/>
      <c r="AO472" s="9"/>
      <c r="AP472" s="9"/>
      <c r="AQ472" s="9"/>
      <c r="AR472" s="9"/>
      <c r="AS472" s="9"/>
      <c r="AT472" s="9"/>
      <c r="AU472" s="9"/>
      <c r="AV472" s="9"/>
      <c r="AW472" s="9"/>
    </row>
    <row r="473" customFormat="false" ht="17.6" hidden="false" customHeight="false" outlineLevel="0" collapsed="false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15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  <c r="AM473" s="9"/>
      <c r="AN473" s="9"/>
      <c r="AO473" s="9"/>
      <c r="AP473" s="9"/>
      <c r="AQ473" s="9"/>
      <c r="AR473" s="9"/>
      <c r="AS473" s="9"/>
      <c r="AT473" s="9"/>
      <c r="AU473" s="9"/>
      <c r="AV473" s="9"/>
      <c r="AW473" s="9"/>
    </row>
    <row r="474" customFormat="false" ht="17.6" hidden="false" customHeight="false" outlineLevel="0" collapsed="false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15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  <c r="AM474" s="9"/>
      <c r="AN474" s="9"/>
      <c r="AO474" s="9"/>
      <c r="AP474" s="9"/>
      <c r="AQ474" s="9"/>
      <c r="AR474" s="9"/>
      <c r="AS474" s="9"/>
      <c r="AT474" s="9"/>
      <c r="AU474" s="9"/>
      <c r="AV474" s="9"/>
      <c r="AW474" s="9"/>
    </row>
    <row r="475" customFormat="false" ht="17.6" hidden="false" customHeight="false" outlineLevel="0" collapsed="false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15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9"/>
      <c r="AN475" s="9"/>
      <c r="AO475" s="9"/>
      <c r="AP475" s="9"/>
      <c r="AQ475" s="9"/>
      <c r="AR475" s="9"/>
      <c r="AS475" s="9"/>
      <c r="AT475" s="9"/>
      <c r="AU475" s="9"/>
      <c r="AV475" s="9"/>
      <c r="AW475" s="9"/>
    </row>
    <row r="476" customFormat="false" ht="17.6" hidden="false" customHeight="false" outlineLevel="0" collapsed="false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15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M476" s="9"/>
      <c r="AN476" s="9"/>
      <c r="AO476" s="9"/>
      <c r="AP476" s="9"/>
      <c r="AQ476" s="9"/>
      <c r="AR476" s="9"/>
      <c r="AS476" s="9"/>
      <c r="AT476" s="9"/>
      <c r="AU476" s="9"/>
      <c r="AV476" s="9"/>
      <c r="AW476" s="9"/>
    </row>
    <row r="477" customFormat="false" ht="17.6" hidden="false" customHeight="false" outlineLevel="0" collapsed="false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15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  <c r="AM477" s="9"/>
      <c r="AN477" s="9"/>
      <c r="AO477" s="9"/>
      <c r="AP477" s="9"/>
      <c r="AQ477" s="9"/>
      <c r="AR477" s="9"/>
      <c r="AS477" s="9"/>
      <c r="AT477" s="9"/>
      <c r="AU477" s="9"/>
      <c r="AV477" s="9"/>
      <c r="AW477" s="9"/>
    </row>
    <row r="478" customFormat="false" ht="17.6" hidden="false" customHeight="false" outlineLevel="0" collapsed="false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15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  <c r="AM478" s="9"/>
      <c r="AN478" s="9"/>
      <c r="AO478" s="9"/>
      <c r="AP478" s="9"/>
      <c r="AQ478" s="9"/>
      <c r="AR478" s="9"/>
      <c r="AS478" s="9"/>
      <c r="AT478" s="9"/>
      <c r="AU478" s="9"/>
      <c r="AV478" s="9"/>
      <c r="AW478" s="9"/>
    </row>
    <row r="479" customFormat="false" ht="17.6" hidden="false" customHeight="false" outlineLevel="0" collapsed="false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15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  <c r="AM479" s="9"/>
      <c r="AN479" s="9"/>
      <c r="AO479" s="9"/>
      <c r="AP479" s="9"/>
      <c r="AQ479" s="9"/>
      <c r="AR479" s="9"/>
      <c r="AS479" s="9"/>
      <c r="AT479" s="9"/>
      <c r="AU479" s="9"/>
      <c r="AV479" s="9"/>
      <c r="AW479" s="9"/>
    </row>
    <row r="480" customFormat="false" ht="17.6" hidden="false" customHeight="false" outlineLevel="0" collapsed="false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15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9"/>
      <c r="AN480" s="9"/>
      <c r="AO480" s="9"/>
      <c r="AP480" s="9"/>
      <c r="AQ480" s="9"/>
      <c r="AR480" s="9"/>
      <c r="AS480" s="9"/>
      <c r="AT480" s="9"/>
      <c r="AU480" s="9"/>
      <c r="AV480" s="9"/>
      <c r="AW480" s="9"/>
    </row>
    <row r="481" customFormat="false" ht="17.6" hidden="false" customHeight="false" outlineLevel="0" collapsed="false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15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9"/>
      <c r="AN481" s="9"/>
      <c r="AO481" s="9"/>
      <c r="AP481" s="9"/>
      <c r="AQ481" s="9"/>
      <c r="AR481" s="9"/>
      <c r="AS481" s="9"/>
      <c r="AT481" s="9"/>
      <c r="AU481" s="9"/>
      <c r="AV481" s="9"/>
      <c r="AW481" s="9"/>
    </row>
    <row r="482" customFormat="false" ht="17.6" hidden="false" customHeight="false" outlineLevel="0" collapsed="false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15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9"/>
      <c r="AN482" s="9"/>
      <c r="AO482" s="9"/>
      <c r="AP482" s="9"/>
      <c r="AQ482" s="9"/>
      <c r="AR482" s="9"/>
      <c r="AS482" s="9"/>
      <c r="AT482" s="9"/>
      <c r="AU482" s="9"/>
      <c r="AV482" s="9"/>
      <c r="AW482" s="9"/>
    </row>
    <row r="483" customFormat="false" ht="17.6" hidden="false" customHeight="false" outlineLevel="0" collapsed="false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15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9"/>
      <c r="AN483" s="9"/>
      <c r="AO483" s="9"/>
      <c r="AP483" s="9"/>
      <c r="AQ483" s="9"/>
      <c r="AR483" s="9"/>
      <c r="AS483" s="9"/>
      <c r="AT483" s="9"/>
      <c r="AU483" s="9"/>
      <c r="AV483" s="9"/>
      <c r="AW483" s="9"/>
    </row>
    <row r="484" customFormat="false" ht="17.6" hidden="false" customHeight="false" outlineLevel="0" collapsed="false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15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  <c r="AM484" s="9"/>
      <c r="AN484" s="9"/>
      <c r="AO484" s="9"/>
      <c r="AP484" s="9"/>
      <c r="AQ484" s="9"/>
      <c r="AR484" s="9"/>
      <c r="AS484" s="9"/>
      <c r="AT484" s="9"/>
      <c r="AU484" s="9"/>
      <c r="AV484" s="9"/>
      <c r="AW484" s="9"/>
    </row>
    <row r="485" customFormat="false" ht="17.6" hidden="false" customHeight="false" outlineLevel="0" collapsed="false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15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9"/>
      <c r="AM485" s="9"/>
      <c r="AN485" s="9"/>
      <c r="AO485" s="9"/>
      <c r="AP485" s="9"/>
      <c r="AQ485" s="9"/>
      <c r="AR485" s="9"/>
      <c r="AS485" s="9"/>
      <c r="AT485" s="9"/>
      <c r="AU485" s="9"/>
      <c r="AV485" s="9"/>
      <c r="AW485" s="9"/>
    </row>
    <row r="486" customFormat="false" ht="17.6" hidden="false" customHeight="false" outlineLevel="0" collapsed="false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15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9"/>
      <c r="AM486" s="9"/>
      <c r="AN486" s="9"/>
      <c r="AO486" s="9"/>
      <c r="AP486" s="9"/>
      <c r="AQ486" s="9"/>
      <c r="AR486" s="9"/>
      <c r="AS486" s="9"/>
      <c r="AT486" s="9"/>
      <c r="AU486" s="9"/>
      <c r="AV486" s="9"/>
      <c r="AW486" s="9"/>
    </row>
    <row r="487" customFormat="false" ht="17.6" hidden="false" customHeight="false" outlineLevel="0" collapsed="false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15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  <c r="AL487" s="9"/>
      <c r="AM487" s="9"/>
      <c r="AN487" s="9"/>
      <c r="AO487" s="9"/>
      <c r="AP487" s="9"/>
      <c r="AQ487" s="9"/>
      <c r="AR487" s="9"/>
      <c r="AS487" s="9"/>
      <c r="AT487" s="9"/>
      <c r="AU487" s="9"/>
      <c r="AV487" s="9"/>
      <c r="AW487" s="9"/>
    </row>
    <row r="488" customFormat="false" ht="17.6" hidden="false" customHeight="false" outlineLevel="0" collapsed="false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15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  <c r="AM488" s="9"/>
      <c r="AN488" s="9"/>
      <c r="AO488" s="9"/>
      <c r="AP488" s="9"/>
      <c r="AQ488" s="9"/>
      <c r="AR488" s="9"/>
      <c r="AS488" s="9"/>
      <c r="AT488" s="9"/>
      <c r="AU488" s="9"/>
      <c r="AV488" s="9"/>
      <c r="AW488" s="9"/>
    </row>
    <row r="489" customFormat="false" ht="17.6" hidden="false" customHeight="false" outlineLevel="0" collapsed="false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15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9"/>
      <c r="AM489" s="9"/>
      <c r="AN489" s="9"/>
      <c r="AO489" s="9"/>
      <c r="AP489" s="9"/>
      <c r="AQ489" s="9"/>
      <c r="AR489" s="9"/>
      <c r="AS489" s="9"/>
      <c r="AT489" s="9"/>
      <c r="AU489" s="9"/>
      <c r="AV489" s="9"/>
      <c r="AW489" s="9"/>
    </row>
    <row r="490" customFormat="false" ht="17.6" hidden="false" customHeight="false" outlineLevel="0" collapsed="false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15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  <c r="AM490" s="9"/>
      <c r="AN490" s="9"/>
      <c r="AO490" s="9"/>
      <c r="AP490" s="9"/>
      <c r="AQ490" s="9"/>
      <c r="AR490" s="9"/>
      <c r="AS490" s="9"/>
      <c r="AT490" s="9"/>
      <c r="AU490" s="9"/>
      <c r="AV490" s="9"/>
      <c r="AW490" s="9"/>
    </row>
    <row r="491" customFormat="false" ht="17.6" hidden="false" customHeight="false" outlineLevel="0" collapsed="false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15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9"/>
      <c r="AL491" s="9"/>
      <c r="AM491" s="9"/>
      <c r="AN491" s="9"/>
      <c r="AO491" s="9"/>
      <c r="AP491" s="9"/>
      <c r="AQ491" s="9"/>
      <c r="AR491" s="9"/>
      <c r="AS491" s="9"/>
      <c r="AT491" s="9"/>
      <c r="AU491" s="9"/>
      <c r="AV491" s="9"/>
      <c r="AW491" s="9"/>
    </row>
    <row r="492" customFormat="false" ht="17.6" hidden="false" customHeight="false" outlineLevel="0" collapsed="false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15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  <c r="AL492" s="9"/>
      <c r="AM492" s="9"/>
      <c r="AN492" s="9"/>
      <c r="AO492" s="9"/>
      <c r="AP492" s="9"/>
      <c r="AQ492" s="9"/>
      <c r="AR492" s="9"/>
      <c r="AS492" s="9"/>
      <c r="AT492" s="9"/>
      <c r="AU492" s="9"/>
      <c r="AV492" s="9"/>
      <c r="AW492" s="9"/>
    </row>
    <row r="493" customFormat="false" ht="17.6" hidden="false" customHeight="false" outlineLevel="0" collapsed="false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15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9"/>
      <c r="AL493" s="9"/>
      <c r="AM493" s="9"/>
      <c r="AN493" s="9"/>
      <c r="AO493" s="9"/>
      <c r="AP493" s="9"/>
      <c r="AQ493" s="9"/>
      <c r="AR493" s="9"/>
      <c r="AS493" s="9"/>
      <c r="AT493" s="9"/>
      <c r="AU493" s="9"/>
      <c r="AV493" s="9"/>
      <c r="AW493" s="9"/>
    </row>
    <row r="494" customFormat="false" ht="17.6" hidden="false" customHeight="false" outlineLevel="0" collapsed="false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15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9"/>
      <c r="AM494" s="9"/>
      <c r="AN494" s="9"/>
      <c r="AO494" s="9"/>
      <c r="AP494" s="9"/>
      <c r="AQ494" s="9"/>
      <c r="AR494" s="9"/>
      <c r="AS494" s="9"/>
      <c r="AT494" s="9"/>
      <c r="AU494" s="9"/>
      <c r="AV494" s="9"/>
      <c r="AW494" s="9"/>
    </row>
    <row r="495" customFormat="false" ht="17.6" hidden="false" customHeight="false" outlineLevel="0" collapsed="false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15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9"/>
      <c r="AL495" s="9"/>
      <c r="AM495" s="9"/>
      <c r="AN495" s="9"/>
      <c r="AO495" s="9"/>
      <c r="AP495" s="9"/>
      <c r="AQ495" s="9"/>
      <c r="AR495" s="9"/>
      <c r="AS495" s="9"/>
      <c r="AT495" s="9"/>
      <c r="AU495" s="9"/>
      <c r="AV495" s="9"/>
      <c r="AW495" s="9"/>
    </row>
    <row r="496" customFormat="false" ht="17.6" hidden="false" customHeight="false" outlineLevel="0" collapsed="false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15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9"/>
      <c r="AK496" s="9"/>
      <c r="AL496" s="9"/>
      <c r="AM496" s="9"/>
      <c r="AN496" s="9"/>
      <c r="AO496" s="9"/>
      <c r="AP496" s="9"/>
      <c r="AQ496" s="9"/>
      <c r="AR496" s="9"/>
      <c r="AS496" s="9"/>
      <c r="AT496" s="9"/>
      <c r="AU496" s="9"/>
      <c r="AV496" s="9"/>
      <c r="AW496" s="9"/>
    </row>
    <row r="497" customFormat="false" ht="17.6" hidden="false" customHeight="false" outlineLevel="0" collapsed="false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15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9"/>
      <c r="AL497" s="9"/>
      <c r="AM497" s="9"/>
      <c r="AN497" s="9"/>
      <c r="AO497" s="9"/>
      <c r="AP497" s="9"/>
      <c r="AQ497" s="9"/>
      <c r="AR497" s="9"/>
      <c r="AS497" s="9"/>
      <c r="AT497" s="9"/>
      <c r="AU497" s="9"/>
      <c r="AV497" s="9"/>
      <c r="AW497" s="9"/>
    </row>
    <row r="498" customFormat="false" ht="17.6" hidden="false" customHeight="false" outlineLevel="0" collapsed="false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15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9"/>
      <c r="AL498" s="9"/>
      <c r="AM498" s="9"/>
      <c r="AN498" s="9"/>
      <c r="AO498" s="9"/>
      <c r="AP498" s="9"/>
      <c r="AQ498" s="9"/>
      <c r="AR498" s="9"/>
      <c r="AS498" s="9"/>
      <c r="AT498" s="9"/>
      <c r="AU498" s="9"/>
      <c r="AV498" s="9"/>
      <c r="AW498" s="9"/>
    </row>
    <row r="499" customFormat="false" ht="17.6" hidden="false" customHeight="false" outlineLevel="0" collapsed="false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15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  <c r="AJ499" s="9"/>
      <c r="AK499" s="9"/>
      <c r="AL499" s="9"/>
      <c r="AM499" s="9"/>
      <c r="AN499" s="9"/>
      <c r="AO499" s="9"/>
      <c r="AP499" s="9"/>
      <c r="AQ499" s="9"/>
      <c r="AR499" s="9"/>
      <c r="AS499" s="9"/>
      <c r="AT499" s="9"/>
      <c r="AU499" s="9"/>
      <c r="AV499" s="9"/>
      <c r="AW499" s="9"/>
    </row>
    <row r="500" customFormat="false" ht="17.6" hidden="false" customHeight="false" outlineLevel="0" collapsed="false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15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  <c r="AI500" s="9"/>
      <c r="AJ500" s="9"/>
      <c r="AK500" s="9"/>
      <c r="AL500" s="9"/>
      <c r="AM500" s="9"/>
      <c r="AN500" s="9"/>
      <c r="AO500" s="9"/>
      <c r="AP500" s="9"/>
      <c r="AQ500" s="9"/>
      <c r="AR500" s="9"/>
      <c r="AS500" s="9"/>
      <c r="AT500" s="9"/>
      <c r="AU500" s="9"/>
      <c r="AV500" s="9"/>
      <c r="AW500" s="9"/>
    </row>
    <row r="501" customFormat="false" ht="17.6" hidden="false" customHeight="false" outlineLevel="0" collapsed="false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15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  <c r="AI501" s="9"/>
      <c r="AJ501" s="9"/>
      <c r="AK501" s="9"/>
      <c r="AL501" s="9"/>
      <c r="AM501" s="9"/>
      <c r="AN501" s="9"/>
      <c r="AO501" s="9"/>
      <c r="AP501" s="9"/>
      <c r="AQ501" s="9"/>
      <c r="AR501" s="9"/>
      <c r="AS501" s="9"/>
      <c r="AT501" s="9"/>
      <c r="AU501" s="9"/>
      <c r="AV501" s="9"/>
      <c r="AW501" s="9"/>
    </row>
    <row r="502" customFormat="false" ht="17.6" hidden="false" customHeight="false" outlineLevel="0" collapsed="false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15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  <c r="AI502" s="9"/>
      <c r="AJ502" s="9"/>
      <c r="AK502" s="9"/>
      <c r="AL502" s="9"/>
      <c r="AM502" s="9"/>
      <c r="AN502" s="9"/>
      <c r="AO502" s="9"/>
      <c r="AP502" s="9"/>
      <c r="AQ502" s="9"/>
      <c r="AR502" s="9"/>
      <c r="AS502" s="9"/>
      <c r="AT502" s="9"/>
      <c r="AU502" s="9"/>
      <c r="AV502" s="9"/>
      <c r="AW502" s="9"/>
    </row>
    <row r="503" customFormat="false" ht="17.6" hidden="false" customHeight="false" outlineLevel="0" collapsed="false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15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9"/>
      <c r="AJ503" s="9"/>
      <c r="AK503" s="9"/>
      <c r="AL503" s="9"/>
      <c r="AM503" s="9"/>
      <c r="AN503" s="9"/>
      <c r="AO503" s="9"/>
      <c r="AP503" s="9"/>
      <c r="AQ503" s="9"/>
      <c r="AR503" s="9"/>
      <c r="AS503" s="9"/>
      <c r="AT503" s="9"/>
      <c r="AU503" s="9"/>
      <c r="AV503" s="9"/>
      <c r="AW503" s="9"/>
    </row>
    <row r="504" customFormat="false" ht="17.6" hidden="false" customHeight="false" outlineLevel="0" collapsed="false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15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9"/>
      <c r="AI504" s="9"/>
      <c r="AJ504" s="9"/>
      <c r="AK504" s="9"/>
      <c r="AL504" s="9"/>
      <c r="AM504" s="9"/>
      <c r="AN504" s="9"/>
      <c r="AO504" s="9"/>
      <c r="AP504" s="9"/>
      <c r="AQ504" s="9"/>
      <c r="AR504" s="9"/>
      <c r="AS504" s="9"/>
      <c r="AT504" s="9"/>
      <c r="AU504" s="9"/>
      <c r="AV504" s="9"/>
      <c r="AW504" s="9"/>
    </row>
    <row r="505" customFormat="false" ht="17.6" hidden="false" customHeight="false" outlineLevel="0" collapsed="false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15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  <c r="AI505" s="9"/>
      <c r="AJ505" s="9"/>
      <c r="AK505" s="9"/>
      <c r="AL505" s="9"/>
      <c r="AM505" s="9"/>
      <c r="AN505" s="9"/>
      <c r="AO505" s="9"/>
      <c r="AP505" s="9"/>
      <c r="AQ505" s="9"/>
      <c r="AR505" s="9"/>
      <c r="AS505" s="9"/>
      <c r="AT505" s="9"/>
      <c r="AU505" s="9"/>
      <c r="AV505" s="9"/>
      <c r="AW505" s="9"/>
    </row>
    <row r="506" customFormat="false" ht="17.6" hidden="false" customHeight="false" outlineLevel="0" collapsed="false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15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9"/>
      <c r="AI506" s="9"/>
      <c r="AJ506" s="9"/>
      <c r="AK506" s="9"/>
      <c r="AL506" s="9"/>
      <c r="AM506" s="9"/>
      <c r="AN506" s="9"/>
      <c r="AO506" s="9"/>
      <c r="AP506" s="9"/>
      <c r="AQ506" s="9"/>
      <c r="AR506" s="9"/>
      <c r="AS506" s="9"/>
      <c r="AT506" s="9"/>
      <c r="AU506" s="9"/>
      <c r="AV506" s="9"/>
      <c r="AW506" s="9"/>
    </row>
    <row r="507" customFormat="false" ht="17.6" hidden="false" customHeight="false" outlineLevel="0" collapsed="false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15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9"/>
      <c r="AI507" s="9"/>
      <c r="AJ507" s="9"/>
      <c r="AK507" s="9"/>
      <c r="AL507" s="9"/>
      <c r="AM507" s="9"/>
      <c r="AN507" s="9"/>
      <c r="AO507" s="9"/>
      <c r="AP507" s="9"/>
      <c r="AQ507" s="9"/>
      <c r="AR507" s="9"/>
      <c r="AS507" s="9"/>
      <c r="AT507" s="9"/>
      <c r="AU507" s="9"/>
      <c r="AV507" s="9"/>
      <c r="AW507" s="9"/>
    </row>
    <row r="508" customFormat="false" ht="17.6" hidden="false" customHeight="false" outlineLevel="0" collapsed="false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15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9"/>
      <c r="AI508" s="9"/>
      <c r="AJ508" s="9"/>
      <c r="AK508" s="9"/>
      <c r="AL508" s="9"/>
      <c r="AM508" s="9"/>
      <c r="AN508" s="9"/>
      <c r="AO508" s="9"/>
      <c r="AP508" s="9"/>
      <c r="AQ508" s="9"/>
      <c r="AR508" s="9"/>
      <c r="AS508" s="9"/>
      <c r="AT508" s="9"/>
      <c r="AU508" s="9"/>
      <c r="AV508" s="9"/>
      <c r="AW508" s="9"/>
    </row>
    <row r="509" customFormat="false" ht="17.6" hidden="false" customHeight="false" outlineLevel="0" collapsed="false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15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9"/>
      <c r="AI509" s="9"/>
      <c r="AJ509" s="9"/>
      <c r="AK509" s="9"/>
      <c r="AL509" s="9"/>
      <c r="AM509" s="9"/>
      <c r="AN509" s="9"/>
      <c r="AO509" s="9"/>
      <c r="AP509" s="9"/>
      <c r="AQ509" s="9"/>
      <c r="AR509" s="9"/>
      <c r="AS509" s="9"/>
      <c r="AT509" s="9"/>
      <c r="AU509" s="9"/>
      <c r="AV509" s="9"/>
      <c r="AW509" s="9"/>
    </row>
    <row r="510" customFormat="false" ht="17.6" hidden="false" customHeight="false" outlineLevel="0" collapsed="false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15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  <c r="AH510" s="9"/>
      <c r="AI510" s="9"/>
      <c r="AJ510" s="9"/>
      <c r="AK510" s="9"/>
      <c r="AL510" s="9"/>
      <c r="AM510" s="9"/>
      <c r="AN510" s="9"/>
      <c r="AO510" s="9"/>
      <c r="AP510" s="9"/>
      <c r="AQ510" s="9"/>
      <c r="AR510" s="9"/>
      <c r="AS510" s="9"/>
      <c r="AT510" s="9"/>
      <c r="AU510" s="9"/>
      <c r="AV510" s="9"/>
      <c r="AW510" s="9"/>
    </row>
    <row r="511" customFormat="false" ht="17.6" hidden="false" customHeight="false" outlineLevel="0" collapsed="false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15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  <c r="AI511" s="9"/>
      <c r="AJ511" s="9"/>
      <c r="AK511" s="9"/>
      <c r="AL511" s="9"/>
      <c r="AM511" s="9"/>
      <c r="AN511" s="9"/>
      <c r="AO511" s="9"/>
      <c r="AP511" s="9"/>
      <c r="AQ511" s="9"/>
      <c r="AR511" s="9"/>
      <c r="AS511" s="9"/>
      <c r="AT511" s="9"/>
      <c r="AU511" s="9"/>
      <c r="AV511" s="9"/>
      <c r="AW511" s="9"/>
    </row>
    <row r="512" customFormat="false" ht="17.6" hidden="false" customHeight="false" outlineLevel="0" collapsed="false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15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  <c r="AI512" s="9"/>
      <c r="AJ512" s="9"/>
      <c r="AK512" s="9"/>
      <c r="AL512" s="9"/>
      <c r="AM512" s="9"/>
      <c r="AN512" s="9"/>
      <c r="AO512" s="9"/>
      <c r="AP512" s="9"/>
      <c r="AQ512" s="9"/>
      <c r="AR512" s="9"/>
      <c r="AS512" s="9"/>
      <c r="AT512" s="9"/>
      <c r="AU512" s="9"/>
      <c r="AV512" s="9"/>
      <c r="AW512" s="9"/>
    </row>
    <row r="513" customFormat="false" ht="17.6" hidden="false" customHeight="false" outlineLevel="0" collapsed="false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15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9"/>
      <c r="AI513" s="9"/>
      <c r="AJ513" s="9"/>
      <c r="AK513" s="9"/>
      <c r="AL513" s="9"/>
      <c r="AM513" s="9"/>
      <c r="AN513" s="9"/>
      <c r="AO513" s="9"/>
      <c r="AP513" s="9"/>
      <c r="AQ513" s="9"/>
      <c r="AR513" s="9"/>
      <c r="AS513" s="9"/>
      <c r="AT513" s="9"/>
      <c r="AU513" s="9"/>
      <c r="AV513" s="9"/>
      <c r="AW513" s="9"/>
    </row>
    <row r="514" customFormat="false" ht="17.6" hidden="false" customHeight="false" outlineLevel="0" collapsed="false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15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9"/>
      <c r="AI514" s="9"/>
      <c r="AJ514" s="9"/>
      <c r="AK514" s="9"/>
      <c r="AL514" s="9"/>
      <c r="AM514" s="9"/>
      <c r="AN514" s="9"/>
      <c r="AO514" s="9"/>
      <c r="AP514" s="9"/>
      <c r="AQ514" s="9"/>
      <c r="AR514" s="9"/>
      <c r="AS514" s="9"/>
      <c r="AT514" s="9"/>
      <c r="AU514" s="9"/>
      <c r="AV514" s="9"/>
      <c r="AW514" s="9"/>
    </row>
    <row r="515" customFormat="false" ht="17.6" hidden="false" customHeight="false" outlineLevel="0" collapsed="false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15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  <c r="AH515" s="9"/>
      <c r="AI515" s="9"/>
      <c r="AJ515" s="9"/>
      <c r="AK515" s="9"/>
      <c r="AL515" s="9"/>
      <c r="AM515" s="9"/>
      <c r="AN515" s="9"/>
      <c r="AO515" s="9"/>
      <c r="AP515" s="9"/>
      <c r="AQ515" s="9"/>
      <c r="AR515" s="9"/>
      <c r="AS515" s="9"/>
      <c r="AT515" s="9"/>
      <c r="AU515" s="9"/>
      <c r="AV515" s="9"/>
      <c r="AW515" s="9"/>
    </row>
    <row r="516" customFormat="false" ht="17.6" hidden="false" customHeight="false" outlineLevel="0" collapsed="false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15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9"/>
      <c r="AI516" s="9"/>
      <c r="AJ516" s="9"/>
      <c r="AK516" s="9"/>
      <c r="AL516" s="9"/>
      <c r="AM516" s="9"/>
      <c r="AN516" s="9"/>
      <c r="AO516" s="9"/>
      <c r="AP516" s="9"/>
      <c r="AQ516" s="9"/>
      <c r="AR516" s="9"/>
      <c r="AS516" s="9"/>
      <c r="AT516" s="9"/>
      <c r="AU516" s="9"/>
      <c r="AV516" s="9"/>
      <c r="AW516" s="9"/>
    </row>
    <row r="517" customFormat="false" ht="17.6" hidden="false" customHeight="false" outlineLevel="0" collapsed="false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15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9"/>
      <c r="AI517" s="9"/>
      <c r="AJ517" s="9"/>
      <c r="AK517" s="9"/>
      <c r="AL517" s="9"/>
      <c r="AM517" s="9"/>
      <c r="AN517" s="9"/>
      <c r="AO517" s="9"/>
      <c r="AP517" s="9"/>
      <c r="AQ517" s="9"/>
      <c r="AR517" s="9"/>
      <c r="AS517" s="9"/>
      <c r="AT517" s="9"/>
      <c r="AU517" s="9"/>
      <c r="AV517" s="9"/>
      <c r="AW517" s="9"/>
    </row>
    <row r="518" customFormat="false" ht="17.6" hidden="false" customHeight="false" outlineLevel="0" collapsed="false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15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  <c r="AH518" s="9"/>
      <c r="AI518" s="9"/>
      <c r="AJ518" s="9"/>
      <c r="AK518" s="9"/>
      <c r="AL518" s="9"/>
      <c r="AM518" s="9"/>
      <c r="AN518" s="9"/>
      <c r="AO518" s="9"/>
      <c r="AP518" s="9"/>
      <c r="AQ518" s="9"/>
      <c r="AR518" s="9"/>
      <c r="AS518" s="9"/>
      <c r="AT518" s="9"/>
      <c r="AU518" s="9"/>
      <c r="AV518" s="9"/>
      <c r="AW518" s="9"/>
    </row>
    <row r="519" customFormat="false" ht="17.6" hidden="false" customHeight="false" outlineLevel="0" collapsed="false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15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  <c r="AH519" s="9"/>
      <c r="AI519" s="9"/>
      <c r="AJ519" s="9"/>
      <c r="AK519" s="9"/>
      <c r="AL519" s="9"/>
      <c r="AM519" s="9"/>
      <c r="AN519" s="9"/>
      <c r="AO519" s="9"/>
      <c r="AP519" s="9"/>
      <c r="AQ519" s="9"/>
      <c r="AR519" s="9"/>
      <c r="AS519" s="9"/>
      <c r="AT519" s="9"/>
      <c r="AU519" s="9"/>
      <c r="AV519" s="9"/>
      <c r="AW519" s="9"/>
    </row>
    <row r="520" customFormat="false" ht="17.6" hidden="false" customHeight="false" outlineLevel="0" collapsed="false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15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9"/>
      <c r="AI520" s="9"/>
      <c r="AJ520" s="9"/>
      <c r="AK520" s="9"/>
      <c r="AL520" s="9"/>
      <c r="AM520" s="9"/>
      <c r="AN520" s="9"/>
      <c r="AO520" s="9"/>
      <c r="AP520" s="9"/>
      <c r="AQ520" s="9"/>
      <c r="AR520" s="9"/>
      <c r="AS520" s="9"/>
      <c r="AT520" s="9"/>
      <c r="AU520" s="9"/>
      <c r="AV520" s="9"/>
      <c r="AW520" s="9"/>
    </row>
    <row r="521" customFormat="false" ht="17.6" hidden="false" customHeight="false" outlineLevel="0" collapsed="false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15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9"/>
      <c r="AI521" s="9"/>
      <c r="AJ521" s="9"/>
      <c r="AK521" s="9"/>
      <c r="AL521" s="9"/>
      <c r="AM521" s="9"/>
      <c r="AN521" s="9"/>
      <c r="AO521" s="9"/>
      <c r="AP521" s="9"/>
      <c r="AQ521" s="9"/>
      <c r="AR521" s="9"/>
      <c r="AS521" s="9"/>
      <c r="AT521" s="9"/>
      <c r="AU521" s="9"/>
      <c r="AV521" s="9"/>
      <c r="AW521" s="9"/>
    </row>
    <row r="522" customFormat="false" ht="17.6" hidden="false" customHeight="false" outlineLevel="0" collapsed="false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15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  <c r="AI522" s="9"/>
      <c r="AJ522" s="9"/>
      <c r="AK522" s="9"/>
      <c r="AL522" s="9"/>
      <c r="AM522" s="9"/>
      <c r="AN522" s="9"/>
      <c r="AO522" s="9"/>
      <c r="AP522" s="9"/>
      <c r="AQ522" s="9"/>
      <c r="AR522" s="9"/>
      <c r="AS522" s="9"/>
      <c r="AT522" s="9"/>
      <c r="AU522" s="9"/>
      <c r="AV522" s="9"/>
      <c r="AW522" s="9"/>
    </row>
    <row r="523" customFormat="false" ht="17.6" hidden="false" customHeight="false" outlineLevel="0" collapsed="false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15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9"/>
      <c r="AI523" s="9"/>
      <c r="AJ523" s="9"/>
      <c r="AK523" s="9"/>
      <c r="AL523" s="9"/>
      <c r="AM523" s="9"/>
      <c r="AN523" s="9"/>
      <c r="AO523" s="9"/>
      <c r="AP523" s="9"/>
      <c r="AQ523" s="9"/>
      <c r="AR523" s="9"/>
      <c r="AS523" s="9"/>
      <c r="AT523" s="9"/>
      <c r="AU523" s="9"/>
      <c r="AV523" s="9"/>
      <c r="AW523" s="9"/>
    </row>
    <row r="524" customFormat="false" ht="17.6" hidden="false" customHeight="false" outlineLevel="0" collapsed="false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15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  <c r="AI524" s="9"/>
      <c r="AJ524" s="9"/>
      <c r="AK524" s="9"/>
      <c r="AL524" s="9"/>
      <c r="AM524" s="9"/>
      <c r="AN524" s="9"/>
      <c r="AO524" s="9"/>
      <c r="AP524" s="9"/>
      <c r="AQ524" s="9"/>
      <c r="AR524" s="9"/>
      <c r="AS524" s="9"/>
      <c r="AT524" s="9"/>
      <c r="AU524" s="9"/>
      <c r="AV524" s="9"/>
      <c r="AW524" s="9"/>
    </row>
    <row r="525" customFormat="false" ht="17.6" hidden="false" customHeight="false" outlineLevel="0" collapsed="false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15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  <c r="AH525" s="9"/>
      <c r="AI525" s="9"/>
      <c r="AJ525" s="9"/>
      <c r="AK525" s="9"/>
      <c r="AL525" s="9"/>
      <c r="AM525" s="9"/>
      <c r="AN525" s="9"/>
      <c r="AO525" s="9"/>
      <c r="AP525" s="9"/>
      <c r="AQ525" s="9"/>
      <c r="AR525" s="9"/>
      <c r="AS525" s="9"/>
      <c r="AT525" s="9"/>
      <c r="AU525" s="9"/>
      <c r="AV525" s="9"/>
      <c r="AW525" s="9"/>
    </row>
    <row r="526" customFormat="false" ht="17.6" hidden="false" customHeight="false" outlineLevel="0" collapsed="false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15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9"/>
      <c r="AI526" s="9"/>
      <c r="AJ526" s="9"/>
      <c r="AK526" s="9"/>
      <c r="AL526" s="9"/>
      <c r="AM526" s="9"/>
      <c r="AN526" s="9"/>
      <c r="AO526" s="9"/>
      <c r="AP526" s="9"/>
      <c r="AQ526" s="9"/>
      <c r="AR526" s="9"/>
      <c r="AS526" s="9"/>
      <c r="AT526" s="9"/>
      <c r="AU526" s="9"/>
      <c r="AV526" s="9"/>
      <c r="AW526" s="9"/>
    </row>
    <row r="527" customFormat="false" ht="17.6" hidden="false" customHeight="false" outlineLevel="0" collapsed="false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15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  <c r="AH527" s="9"/>
      <c r="AI527" s="9"/>
      <c r="AJ527" s="9"/>
      <c r="AK527" s="9"/>
      <c r="AL527" s="9"/>
      <c r="AM527" s="9"/>
      <c r="AN527" s="9"/>
      <c r="AO527" s="9"/>
      <c r="AP527" s="9"/>
      <c r="AQ527" s="9"/>
      <c r="AR527" s="9"/>
      <c r="AS527" s="9"/>
      <c r="AT527" s="9"/>
      <c r="AU527" s="9"/>
      <c r="AV527" s="9"/>
      <c r="AW527" s="9"/>
    </row>
    <row r="528" customFormat="false" ht="17.6" hidden="false" customHeight="false" outlineLevel="0" collapsed="false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15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  <c r="AH528" s="9"/>
      <c r="AI528" s="9"/>
      <c r="AJ528" s="9"/>
      <c r="AK528" s="9"/>
      <c r="AL528" s="9"/>
      <c r="AM528" s="9"/>
      <c r="AN528" s="9"/>
      <c r="AO528" s="9"/>
      <c r="AP528" s="9"/>
      <c r="AQ528" s="9"/>
      <c r="AR528" s="9"/>
      <c r="AS528" s="9"/>
      <c r="AT528" s="9"/>
      <c r="AU528" s="9"/>
      <c r="AV528" s="9"/>
      <c r="AW528" s="9"/>
    </row>
    <row r="529" customFormat="false" ht="17.6" hidden="false" customHeight="false" outlineLevel="0" collapsed="false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15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  <c r="AH529" s="9"/>
      <c r="AI529" s="9"/>
      <c r="AJ529" s="9"/>
      <c r="AK529" s="9"/>
      <c r="AL529" s="9"/>
      <c r="AM529" s="9"/>
      <c r="AN529" s="9"/>
      <c r="AO529" s="9"/>
      <c r="AP529" s="9"/>
      <c r="AQ529" s="9"/>
      <c r="AR529" s="9"/>
      <c r="AS529" s="9"/>
      <c r="AT529" s="9"/>
      <c r="AU529" s="9"/>
      <c r="AV529" s="9"/>
      <c r="AW529" s="9"/>
    </row>
    <row r="530" customFormat="false" ht="17.6" hidden="false" customHeight="false" outlineLevel="0" collapsed="false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15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  <c r="AH530" s="9"/>
      <c r="AI530" s="9"/>
      <c r="AJ530" s="9"/>
      <c r="AK530" s="9"/>
      <c r="AL530" s="9"/>
      <c r="AM530" s="9"/>
      <c r="AN530" s="9"/>
      <c r="AO530" s="9"/>
      <c r="AP530" s="9"/>
      <c r="AQ530" s="9"/>
      <c r="AR530" s="9"/>
      <c r="AS530" s="9"/>
      <c r="AT530" s="9"/>
      <c r="AU530" s="9"/>
      <c r="AV530" s="9"/>
      <c r="AW530" s="9"/>
    </row>
    <row r="531" customFormat="false" ht="17.6" hidden="false" customHeight="false" outlineLevel="0" collapsed="false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15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  <c r="AH531" s="9"/>
      <c r="AI531" s="9"/>
      <c r="AJ531" s="9"/>
      <c r="AK531" s="9"/>
      <c r="AL531" s="9"/>
      <c r="AM531" s="9"/>
      <c r="AN531" s="9"/>
      <c r="AO531" s="9"/>
      <c r="AP531" s="9"/>
      <c r="AQ531" s="9"/>
      <c r="AR531" s="9"/>
      <c r="AS531" s="9"/>
      <c r="AT531" s="9"/>
      <c r="AU531" s="9"/>
      <c r="AV531" s="9"/>
      <c r="AW531" s="9"/>
    </row>
    <row r="532" customFormat="false" ht="17.6" hidden="false" customHeight="false" outlineLevel="0" collapsed="false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15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  <c r="AH532" s="9"/>
      <c r="AI532" s="9"/>
      <c r="AJ532" s="9"/>
      <c r="AK532" s="9"/>
      <c r="AL532" s="9"/>
      <c r="AM532" s="9"/>
      <c r="AN532" s="9"/>
      <c r="AO532" s="9"/>
      <c r="AP532" s="9"/>
      <c r="AQ532" s="9"/>
      <c r="AR532" s="9"/>
      <c r="AS532" s="9"/>
      <c r="AT532" s="9"/>
      <c r="AU532" s="9"/>
      <c r="AV532" s="9"/>
      <c r="AW532" s="9"/>
    </row>
    <row r="533" customFormat="false" ht="17.6" hidden="false" customHeight="false" outlineLevel="0" collapsed="false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15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  <c r="AH533" s="9"/>
      <c r="AI533" s="9"/>
      <c r="AJ533" s="9"/>
      <c r="AK533" s="9"/>
      <c r="AL533" s="9"/>
      <c r="AM533" s="9"/>
      <c r="AN533" s="9"/>
      <c r="AO533" s="9"/>
      <c r="AP533" s="9"/>
      <c r="AQ533" s="9"/>
      <c r="AR533" s="9"/>
      <c r="AS533" s="9"/>
      <c r="AT533" s="9"/>
      <c r="AU533" s="9"/>
      <c r="AV533" s="9"/>
      <c r="AW533" s="9"/>
    </row>
    <row r="534" customFormat="false" ht="17.6" hidden="false" customHeight="false" outlineLevel="0" collapsed="false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15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  <c r="AH534" s="9"/>
      <c r="AI534" s="9"/>
      <c r="AJ534" s="9"/>
      <c r="AK534" s="9"/>
      <c r="AL534" s="9"/>
      <c r="AM534" s="9"/>
      <c r="AN534" s="9"/>
      <c r="AO534" s="9"/>
      <c r="AP534" s="9"/>
      <c r="AQ534" s="9"/>
      <c r="AR534" s="9"/>
      <c r="AS534" s="9"/>
      <c r="AT534" s="9"/>
      <c r="AU534" s="9"/>
      <c r="AV534" s="9"/>
      <c r="AW534" s="9"/>
    </row>
    <row r="535" customFormat="false" ht="17.6" hidden="false" customHeight="false" outlineLevel="0" collapsed="false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15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  <c r="AI535" s="9"/>
      <c r="AJ535" s="9"/>
      <c r="AK535" s="9"/>
      <c r="AL535" s="9"/>
      <c r="AM535" s="9"/>
      <c r="AN535" s="9"/>
      <c r="AO535" s="9"/>
      <c r="AP535" s="9"/>
      <c r="AQ535" s="9"/>
      <c r="AR535" s="9"/>
      <c r="AS535" s="9"/>
      <c r="AT535" s="9"/>
      <c r="AU535" s="9"/>
      <c r="AV535" s="9"/>
      <c r="AW535" s="9"/>
    </row>
    <row r="536" customFormat="false" ht="17.6" hidden="false" customHeight="false" outlineLevel="0" collapsed="false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15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  <c r="AH536" s="9"/>
      <c r="AI536" s="9"/>
      <c r="AJ536" s="9"/>
      <c r="AK536" s="9"/>
      <c r="AL536" s="9"/>
      <c r="AM536" s="9"/>
      <c r="AN536" s="9"/>
      <c r="AO536" s="9"/>
      <c r="AP536" s="9"/>
      <c r="AQ536" s="9"/>
      <c r="AR536" s="9"/>
      <c r="AS536" s="9"/>
      <c r="AT536" s="9"/>
      <c r="AU536" s="9"/>
      <c r="AV536" s="9"/>
      <c r="AW536" s="9"/>
    </row>
    <row r="537" customFormat="false" ht="17.6" hidden="false" customHeight="false" outlineLevel="0" collapsed="false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15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  <c r="AH537" s="9"/>
      <c r="AI537" s="9"/>
      <c r="AJ537" s="9"/>
      <c r="AK537" s="9"/>
      <c r="AL537" s="9"/>
      <c r="AM537" s="9"/>
      <c r="AN537" s="9"/>
      <c r="AO537" s="9"/>
      <c r="AP537" s="9"/>
      <c r="AQ537" s="9"/>
      <c r="AR537" s="9"/>
      <c r="AS537" s="9"/>
      <c r="AT537" s="9"/>
      <c r="AU537" s="9"/>
      <c r="AV537" s="9"/>
      <c r="AW537" s="9"/>
    </row>
    <row r="538" customFormat="false" ht="17.6" hidden="false" customHeight="false" outlineLevel="0" collapsed="false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15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  <c r="AH538" s="9"/>
      <c r="AI538" s="9"/>
      <c r="AJ538" s="9"/>
      <c r="AK538" s="9"/>
      <c r="AL538" s="9"/>
      <c r="AM538" s="9"/>
      <c r="AN538" s="9"/>
      <c r="AO538" s="9"/>
      <c r="AP538" s="9"/>
      <c r="AQ538" s="9"/>
      <c r="AR538" s="9"/>
      <c r="AS538" s="9"/>
      <c r="AT538" s="9"/>
      <c r="AU538" s="9"/>
      <c r="AV538" s="9"/>
      <c r="AW538" s="9"/>
    </row>
    <row r="539" customFormat="false" ht="17.6" hidden="false" customHeight="false" outlineLevel="0" collapsed="false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15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  <c r="AH539" s="9"/>
      <c r="AI539" s="9"/>
      <c r="AJ539" s="9"/>
      <c r="AK539" s="9"/>
      <c r="AL539" s="9"/>
      <c r="AM539" s="9"/>
      <c r="AN539" s="9"/>
      <c r="AO539" s="9"/>
      <c r="AP539" s="9"/>
      <c r="AQ539" s="9"/>
      <c r="AR539" s="9"/>
      <c r="AS539" s="9"/>
      <c r="AT539" s="9"/>
      <c r="AU539" s="9"/>
      <c r="AV539" s="9"/>
      <c r="AW539" s="9"/>
    </row>
    <row r="540" customFormat="false" ht="17.6" hidden="false" customHeight="false" outlineLevel="0" collapsed="false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15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  <c r="AH540" s="9"/>
      <c r="AI540" s="9"/>
      <c r="AJ540" s="9"/>
      <c r="AK540" s="9"/>
      <c r="AL540" s="9"/>
      <c r="AM540" s="9"/>
      <c r="AN540" s="9"/>
      <c r="AO540" s="9"/>
      <c r="AP540" s="9"/>
      <c r="AQ540" s="9"/>
      <c r="AR540" s="9"/>
      <c r="AS540" s="9"/>
      <c r="AT540" s="9"/>
      <c r="AU540" s="9"/>
      <c r="AV540" s="9"/>
      <c r="AW540" s="9"/>
    </row>
    <row r="541" customFormat="false" ht="17.6" hidden="false" customHeight="false" outlineLevel="0" collapsed="false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15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  <c r="AH541" s="9"/>
      <c r="AI541" s="9"/>
      <c r="AJ541" s="9"/>
      <c r="AK541" s="9"/>
      <c r="AL541" s="9"/>
      <c r="AM541" s="9"/>
      <c r="AN541" s="9"/>
      <c r="AO541" s="9"/>
      <c r="AP541" s="9"/>
      <c r="AQ541" s="9"/>
      <c r="AR541" s="9"/>
      <c r="AS541" s="9"/>
      <c r="AT541" s="9"/>
      <c r="AU541" s="9"/>
      <c r="AV541" s="9"/>
      <c r="AW541" s="9"/>
    </row>
    <row r="542" customFormat="false" ht="17.6" hidden="false" customHeight="false" outlineLevel="0" collapsed="false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15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  <c r="AH542" s="9"/>
      <c r="AI542" s="9"/>
      <c r="AJ542" s="9"/>
      <c r="AK542" s="9"/>
      <c r="AL542" s="9"/>
      <c r="AM542" s="9"/>
      <c r="AN542" s="9"/>
      <c r="AO542" s="9"/>
      <c r="AP542" s="9"/>
      <c r="AQ542" s="9"/>
      <c r="AR542" s="9"/>
      <c r="AS542" s="9"/>
      <c r="AT542" s="9"/>
      <c r="AU542" s="9"/>
      <c r="AV542" s="9"/>
      <c r="AW542" s="9"/>
    </row>
    <row r="543" customFormat="false" ht="17.6" hidden="false" customHeight="false" outlineLevel="0" collapsed="false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15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  <c r="AH543" s="9"/>
      <c r="AI543" s="9"/>
      <c r="AJ543" s="9"/>
      <c r="AK543" s="9"/>
      <c r="AL543" s="9"/>
      <c r="AM543" s="9"/>
      <c r="AN543" s="9"/>
      <c r="AO543" s="9"/>
      <c r="AP543" s="9"/>
      <c r="AQ543" s="9"/>
      <c r="AR543" s="9"/>
      <c r="AS543" s="9"/>
      <c r="AT543" s="9"/>
      <c r="AU543" s="9"/>
      <c r="AV543" s="9"/>
      <c r="AW543" s="9"/>
    </row>
    <row r="544" customFormat="false" ht="17.6" hidden="false" customHeight="false" outlineLevel="0" collapsed="false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15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  <c r="AI544" s="9"/>
      <c r="AJ544" s="9"/>
      <c r="AK544" s="9"/>
      <c r="AL544" s="9"/>
      <c r="AM544" s="9"/>
      <c r="AN544" s="9"/>
      <c r="AO544" s="9"/>
      <c r="AP544" s="9"/>
      <c r="AQ544" s="9"/>
      <c r="AR544" s="9"/>
      <c r="AS544" s="9"/>
      <c r="AT544" s="9"/>
      <c r="AU544" s="9"/>
      <c r="AV544" s="9"/>
      <c r="AW544" s="9"/>
    </row>
    <row r="545" customFormat="false" ht="17.6" hidden="false" customHeight="false" outlineLevel="0" collapsed="false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15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  <c r="AI545" s="9"/>
      <c r="AJ545" s="9"/>
      <c r="AK545" s="9"/>
      <c r="AL545" s="9"/>
      <c r="AM545" s="9"/>
      <c r="AN545" s="9"/>
      <c r="AO545" s="9"/>
      <c r="AP545" s="9"/>
      <c r="AQ545" s="9"/>
      <c r="AR545" s="9"/>
      <c r="AS545" s="9"/>
      <c r="AT545" s="9"/>
      <c r="AU545" s="9"/>
      <c r="AV545" s="9"/>
      <c r="AW545" s="9"/>
    </row>
    <row r="546" customFormat="false" ht="17.6" hidden="false" customHeight="false" outlineLevel="0" collapsed="false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15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  <c r="AH546" s="9"/>
      <c r="AI546" s="9"/>
      <c r="AJ546" s="9"/>
      <c r="AK546" s="9"/>
      <c r="AL546" s="9"/>
      <c r="AM546" s="9"/>
      <c r="AN546" s="9"/>
      <c r="AO546" s="9"/>
      <c r="AP546" s="9"/>
      <c r="AQ546" s="9"/>
      <c r="AR546" s="9"/>
      <c r="AS546" s="9"/>
      <c r="AT546" s="9"/>
      <c r="AU546" s="9"/>
      <c r="AV546" s="9"/>
      <c r="AW546" s="9"/>
    </row>
    <row r="547" customFormat="false" ht="17.6" hidden="false" customHeight="false" outlineLevel="0" collapsed="false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15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  <c r="AH547" s="9"/>
      <c r="AI547" s="9"/>
      <c r="AJ547" s="9"/>
      <c r="AK547" s="9"/>
      <c r="AL547" s="9"/>
      <c r="AM547" s="9"/>
      <c r="AN547" s="9"/>
      <c r="AO547" s="9"/>
      <c r="AP547" s="9"/>
      <c r="AQ547" s="9"/>
      <c r="AR547" s="9"/>
      <c r="AS547" s="9"/>
      <c r="AT547" s="9"/>
      <c r="AU547" s="9"/>
      <c r="AV547" s="9"/>
      <c r="AW547" s="9"/>
    </row>
    <row r="548" customFormat="false" ht="17.6" hidden="false" customHeight="false" outlineLevel="0" collapsed="false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15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  <c r="AI548" s="9"/>
      <c r="AJ548" s="9"/>
      <c r="AK548" s="9"/>
      <c r="AL548" s="9"/>
      <c r="AM548" s="9"/>
      <c r="AN548" s="9"/>
      <c r="AO548" s="9"/>
      <c r="AP548" s="9"/>
      <c r="AQ548" s="9"/>
      <c r="AR548" s="9"/>
      <c r="AS548" s="9"/>
      <c r="AT548" s="9"/>
      <c r="AU548" s="9"/>
      <c r="AV548" s="9"/>
      <c r="AW548" s="9"/>
    </row>
    <row r="549" customFormat="false" ht="17.6" hidden="false" customHeight="false" outlineLevel="0" collapsed="false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15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  <c r="AH549" s="9"/>
      <c r="AI549" s="9"/>
      <c r="AJ549" s="9"/>
      <c r="AK549" s="9"/>
      <c r="AL549" s="9"/>
      <c r="AM549" s="9"/>
      <c r="AN549" s="9"/>
      <c r="AO549" s="9"/>
      <c r="AP549" s="9"/>
      <c r="AQ549" s="9"/>
      <c r="AR549" s="9"/>
      <c r="AS549" s="9"/>
      <c r="AT549" s="9"/>
      <c r="AU549" s="9"/>
      <c r="AV549" s="9"/>
      <c r="AW549" s="9"/>
    </row>
    <row r="550" customFormat="false" ht="17.6" hidden="false" customHeight="false" outlineLevel="0" collapsed="false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15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  <c r="AH550" s="9"/>
      <c r="AI550" s="9"/>
      <c r="AJ550" s="9"/>
      <c r="AK550" s="9"/>
      <c r="AL550" s="9"/>
      <c r="AM550" s="9"/>
      <c r="AN550" s="9"/>
      <c r="AO550" s="9"/>
      <c r="AP550" s="9"/>
      <c r="AQ550" s="9"/>
      <c r="AR550" s="9"/>
      <c r="AS550" s="9"/>
      <c r="AT550" s="9"/>
      <c r="AU550" s="9"/>
      <c r="AV550" s="9"/>
      <c r="AW550" s="9"/>
    </row>
    <row r="551" customFormat="false" ht="17.6" hidden="false" customHeight="false" outlineLevel="0" collapsed="false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15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  <c r="AH551" s="9"/>
      <c r="AI551" s="9"/>
      <c r="AJ551" s="9"/>
      <c r="AK551" s="9"/>
      <c r="AL551" s="9"/>
      <c r="AM551" s="9"/>
      <c r="AN551" s="9"/>
      <c r="AO551" s="9"/>
      <c r="AP551" s="9"/>
      <c r="AQ551" s="9"/>
      <c r="AR551" s="9"/>
      <c r="AS551" s="9"/>
      <c r="AT551" s="9"/>
      <c r="AU551" s="9"/>
      <c r="AV551" s="9"/>
      <c r="AW551" s="9"/>
    </row>
    <row r="552" customFormat="false" ht="17.6" hidden="false" customHeight="false" outlineLevel="0" collapsed="false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15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  <c r="AH552" s="9"/>
      <c r="AI552" s="9"/>
      <c r="AJ552" s="9"/>
      <c r="AK552" s="9"/>
      <c r="AL552" s="9"/>
      <c r="AM552" s="9"/>
      <c r="AN552" s="9"/>
      <c r="AO552" s="9"/>
      <c r="AP552" s="9"/>
      <c r="AQ552" s="9"/>
      <c r="AR552" s="9"/>
      <c r="AS552" s="9"/>
      <c r="AT552" s="9"/>
      <c r="AU552" s="9"/>
      <c r="AV552" s="9"/>
      <c r="AW552" s="9"/>
    </row>
    <row r="553" customFormat="false" ht="17.6" hidden="false" customHeight="false" outlineLevel="0" collapsed="false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15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  <c r="AH553" s="9"/>
      <c r="AI553" s="9"/>
      <c r="AJ553" s="9"/>
      <c r="AK553" s="9"/>
      <c r="AL553" s="9"/>
      <c r="AM553" s="9"/>
      <c r="AN553" s="9"/>
      <c r="AO553" s="9"/>
      <c r="AP553" s="9"/>
      <c r="AQ553" s="9"/>
      <c r="AR553" s="9"/>
      <c r="AS553" s="9"/>
      <c r="AT553" s="9"/>
      <c r="AU553" s="9"/>
      <c r="AV553" s="9"/>
      <c r="AW553" s="9"/>
    </row>
    <row r="554" customFormat="false" ht="17.6" hidden="false" customHeight="false" outlineLevel="0" collapsed="false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15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  <c r="AH554" s="9"/>
      <c r="AI554" s="9"/>
      <c r="AJ554" s="9"/>
      <c r="AK554" s="9"/>
      <c r="AL554" s="9"/>
      <c r="AM554" s="9"/>
      <c r="AN554" s="9"/>
      <c r="AO554" s="9"/>
      <c r="AP554" s="9"/>
      <c r="AQ554" s="9"/>
      <c r="AR554" s="9"/>
      <c r="AS554" s="9"/>
      <c r="AT554" s="9"/>
      <c r="AU554" s="9"/>
      <c r="AV554" s="9"/>
      <c r="AW554" s="9"/>
    </row>
  </sheetData>
  <mergeCells count="1">
    <mergeCell ref="A1:P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2020-08-21T02:41:33Z</dcterms:created>
  <dc:creator>Administrator</dc:creator>
  <dc:description/>
  <dc:language>en-US</dc:language>
  <cp:lastModifiedBy/>
  <dcterms:modified xsi:type="dcterms:W3CDTF">2026-06-01T13:08:07Z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r8>0</vt:r8>
  </property>
  <property fmtid="{D5CDD505-2E9C-101B-9397-08002B2CF9AE}" pid="3" name="Generator">
    <vt:lpwstr>NPOI</vt:lpwstr>
  </property>
  <property fmtid="{D5CDD505-2E9C-101B-9397-08002B2CF9AE}" pid="4" name="Generator Version">
    <vt:lpwstr>2.3.0</vt:lpwstr>
  </property>
  <property fmtid="{D5CDD505-2E9C-101B-9397-08002B2CF9AE}" pid="5" name="ICV">
    <vt:lpwstr>A4D5B96C419A35BD4C6B9869A0EDAE75_42</vt:lpwstr>
  </property>
  <property fmtid="{D5CDD505-2E9C-101B-9397-08002B2CF9AE}" pid="6" name="KSOProductBuildVer">
    <vt:lpwstr>2052-12.1.24709.24709</vt:lpwstr>
  </property>
</Properties>
</file>