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<sst xmlns="http://schemas.openxmlformats.org/spreadsheetml/2006/main" count="169" uniqueCount="132">
  <si>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</si>
  <si>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</si>
  <si>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</si>
  <si>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</si>
  <si>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Item</t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</si>
  <si>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</si>
  <si>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</si>
  <si>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</si>
  <si>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t xml:space="preserve">Part # LCSC</t>
  </si>
  <si>
    <t xml:space="preserve">LCSC Weblink</t>
  </si>
  <si>
    <t xml:space="preserve">LSCS $</t>
  </si>
  <si>
    <t xml:space="preserve">Cost LCSC</t>
  </si>
  <si>
    <t xml:space="preserve">Part # Mouser</t>
  </si>
  <si>
    <t xml:space="preserve">Mouser Weblink</t>
  </si>
  <si>
    <t xml:space="preserve">Mouser $</t>
  </si>
  <si>
    <t xml:space="preserve">C1,C2</t>
  </si>
  <si>
    <t xml:space="preserve">C_0402_1005Metric</t>
  </si>
  <si>
    <t xml:space="preserve">Capacitor</t>
  </si>
  <si>
    <t xml:space="preserve">muRata</t>
  </si>
  <si>
    <t xml:space="preserve">GRM155R61A475KEAAD</t>
  </si>
  <si>
    <t xml:space="preserve">4u7F</t>
  </si>
  <si>
    <t xml:space="preserve">C77004</t>
  </si>
  <si>
    <t xml:space="preserve">https://www.lcsc.com/product-detail/C77004.html?s_z=n_C77004</t>
  </si>
  <si>
    <t xml:space="preserve">C14</t>
  </si>
  <si>
    <t xml:space="preserve">C_0201_0603Metric</t>
  </si>
  <si>
    <t xml:space="preserve">GRM033R71E103KE14D</t>
  </si>
  <si>
    <t xml:space="preserve">10nF</t>
  </si>
  <si>
    <t xml:space="preserve">C85930</t>
  </si>
  <si>
    <t xml:space="preserve">https://www.lcsc.com/product-detail/C85930.html</t>
  </si>
  <si>
    <t xml:space="preserve">C10,C15,C4</t>
  </si>
  <si>
    <t xml:space="preserve">GRM155R71H104KE14</t>
  </si>
  <si>
    <t xml:space="preserve">0u1F</t>
  </si>
  <si>
    <t xml:space="preserve">C77020</t>
  </si>
  <si>
    <t xml:space="preserve">https://www.lcsc.com/product-detail/C77020.htm</t>
  </si>
  <si>
    <t xml:space="preserve">C3</t>
  </si>
  <si>
    <t xml:space="preserve">GRM158R61A226ME15D</t>
  </si>
  <si>
    <t xml:space="preserve">22uF</t>
  </si>
  <si>
    <t xml:space="preserve">C3845593</t>
  </si>
  <si>
    <t xml:space="preserve">https://www.lcsc.com/product-detail/C3845593.html?s_z=n_C3845593</t>
  </si>
  <si>
    <t xml:space="preserve">C6,C5, C9</t>
  </si>
  <si>
    <t xml:space="preserve">GRM155R61A106ME44D</t>
  </si>
  <si>
    <t xml:space="preserve">10uF</t>
  </si>
  <si>
    <t xml:space="preserve">C77000</t>
  </si>
  <si>
    <t xml:space="preserve">https://www.lcsc.com/product-detail/C77000.html?s_z=n_C77000</t>
  </si>
  <si>
    <t xml:space="preserve">C7,C8</t>
  </si>
  <si>
    <t xml:space="preserve">GRM155R61E105KA12</t>
  </si>
  <si>
    <t xml:space="preserve">1uF</t>
  </si>
  <si>
    <t xml:space="preserve">C77009</t>
  </si>
  <si>
    <t xml:space="preserve">https://www.lcsc.com/product-detail/C77009.html</t>
  </si>
  <si>
    <t xml:space="preserve">D1</t>
  </si>
  <si>
    <t xml:space="preserve">D_SOD-923</t>
  </si>
  <si>
    <t xml:space="preserve">ESD9B5.0ST5G</t>
  </si>
  <si>
    <t xml:space="preserve">onSemi</t>
  </si>
  <si>
    <t xml:space="preserve">C111566</t>
  </si>
  <si>
    <t xml:space="preserve">https://www.lcsc.com/product-detail/C111566.html?s_z=n_C111566</t>
  </si>
  <si>
    <t xml:space="preserve">D2</t>
  </si>
  <si>
    <t xml:space="preserve">LED_0402_1005Metric</t>
  </si>
  <si>
    <t xml:space="preserve">LED GRN</t>
  </si>
  <si>
    <t xml:space="preserve">TOGIALED</t>
  </si>
  <si>
    <t xml:space="preserve">TJ-S1005CL4T5ALC2G-A5</t>
  </si>
  <si>
    <t xml:space="preserve">LED GREEN</t>
  </si>
  <si>
    <t xml:space="preserve">C917188</t>
  </si>
  <si>
    <t xml:space="preserve">https://www.lcsc.com/product-detail/C917188.html</t>
  </si>
  <si>
    <t xml:space="preserve">D3</t>
  </si>
  <si>
    <t xml:space="preserve">LED RED</t>
  </si>
  <si>
    <t xml:space="preserve">TJ-S1005SW4TGLC2R-A5</t>
  </si>
  <si>
    <t xml:space="preserve">C273598</t>
  </si>
  <si>
    <t xml:space="preserve">https://www.lcsc.com/product-detail/C273598.html</t>
  </si>
  <si>
    <t xml:space="preserve">D7</t>
  </si>
  <si>
    <t xml:space="preserve">LED WHITE</t>
  </si>
  <si>
    <t xml:space="preserve">TJ-S1005CL4T5ALC3D</t>
  </si>
  <si>
    <t xml:space="preserve">C917191</t>
  </si>
  <si>
    <t xml:space="preserve">https://www.lcsc.com/product-detail/C917191.html</t>
  </si>
  <si>
    <t xml:space="preserve">D5</t>
  </si>
  <si>
    <t xml:space="preserve">LED BLUE</t>
  </si>
  <si>
    <t xml:space="preserve">Vishay</t>
  </si>
  <si>
    <t xml:space="preserve">VLMB1500-GS08</t>
  </si>
  <si>
    <t xml:space="preserve">C511042</t>
  </si>
  <si>
    <t xml:space="preserve">https://www.lcsc.com/product-detail/C511042.html?s_z=n_C511042</t>
  </si>
  <si>
    <t xml:space="preserve">D8,D9</t>
  </si>
  <si>
    <t xml:space="preserve">ESD9101P2T5G</t>
  </si>
  <si>
    <t xml:space="preserve">C41348159</t>
  </si>
  <si>
    <t xml:space="preserve">https://www.lcsc.com/product-detail/C41348159.html?s_z=n_ESD9101P2T5G</t>
  </si>
  <si>
    <t xml:space="preserve">IC1</t>
  </si>
  <si>
    <t xml:space="preserve">SON50P150X200X100-8N-D</t>
  </si>
  <si>
    <t xml:space="preserve">TPS62840DLCR</t>
  </si>
  <si>
    <t xml:space="preserve">IC2</t>
  </si>
  <si>
    <t xml:space="preserve">SON40P220X200X80-11N</t>
  </si>
  <si>
    <t xml:space="preserve">BQ25185DLHR</t>
  </si>
  <si>
    <t xml:space="preserve">J1,J4</t>
  </si>
  <si>
    <t xml:space="preserve">Castellated_1x12_P2.54mm_D0.80mm</t>
  </si>
  <si>
    <t xml:space="preserve">Castellated_1x12</t>
  </si>
  <si>
    <t xml:space="preserve">J2</t>
  </si>
  <si>
    <t xml:space="preserve">USB_C_Receptacle_USB2.0_16P</t>
  </si>
  <si>
    <t xml:space="preserve">USB_C_Receptacle_GCT_USB4105-xx-A_16P_TopMnt_Horizontal</t>
  </si>
  <si>
    <t xml:space="preserve">L1</t>
  </si>
  <si>
    <t xml:space="preserve">DFE201210S1R0MP2</t>
  </si>
  <si>
    <t xml:space="preserve">Inductor</t>
  </si>
  <si>
    <t xml:space="preserve">DFE201210S-2R2M=P2</t>
  </si>
  <si>
    <t xml:space="preserve">R1</t>
  </si>
  <si>
    <t xml:space="preserve">R_0402_1005Metric</t>
  </si>
  <si>
    <t xml:space="preserve">267K</t>
  </si>
  <si>
    <t xml:space="preserve">R14,R16</t>
  </si>
  <si>
    <t xml:space="preserve">4k7</t>
  </si>
  <si>
    <t xml:space="preserve">R17,R13</t>
  </si>
  <si>
    <t xml:space="preserve">10k</t>
  </si>
  <si>
    <t xml:space="preserve">R2</t>
  </si>
  <si>
    <t xml:space="preserve">18k</t>
  </si>
  <si>
    <t xml:space="preserve">R3</t>
  </si>
  <si>
    <t xml:space="preserve">R5,R4</t>
  </si>
  <si>
    <t xml:space="preserve">5k1</t>
  </si>
  <si>
    <t xml:space="preserve">R7,R10,R6,R9</t>
  </si>
  <si>
    <t xml:space="preserve">2k2</t>
  </si>
  <si>
    <t xml:space="preserve">R8</t>
  </si>
  <si>
    <t xml:space="preserve">100k</t>
  </si>
  <si>
    <t xml:space="preserve">TP1</t>
  </si>
  <si>
    <t xml:space="preserve">TestPoint_Pad_1.5x1.5mm</t>
  </si>
  <si>
    <t xml:space="preserve">TestPoint</t>
  </si>
  <si>
    <t xml:space="preserve">TP3</t>
  </si>
  <si>
    <t xml:space="preserve">U1</t>
  </si>
  <si>
    <t xml:space="preserve">ESP32-C6-MINI-1</t>
  </si>
  <si>
    <t xml:space="preserve">MCU Module</t>
  </si>
  <si>
    <t xml:space="preserve">Espressif Systems</t>
  </si>
  <si>
    <t xml:space="preserve">U2</t>
  </si>
  <si>
    <t xml:space="preserve">LGA-12_2X2X0P7_STM</t>
  </si>
  <si>
    <t xml:space="preserve">LIS2DW12TR</t>
  </si>
  <si>
    <t xml:space="preserve">U3</t>
  </si>
  <si>
    <t xml:space="preserve">DFN-8_2x2mm_P0.5mm_EP1.2x0.8mm</t>
  </si>
  <si>
    <t xml:space="preserve">MAX17048</t>
  </si>
  <si>
    <t xml:space="preserve">U5</t>
  </si>
  <si>
    <t xml:space="preserve">Texas_X2SON-5_0.8x0.8mm_P0.48mm</t>
  </si>
  <si>
    <t xml:space="preserve">TMP110D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</si>
</sst>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u val="single"/>
      <sz val="10"/>
      <color rgb="FF0563C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csc.com/product-detail/C77004.html?s_z=n_C77004" TargetMode="External"/><Relationship Id="rId2" Type="http://schemas.openxmlformats.org/officeDocument/2006/relationships/hyperlink" Target="https://www.lcsc.com/product-detail/C85930.html?spm=wm.fly.bg.0.xh___wm.fly.tp.4.ml&amp;lcsc_vid=RFZeBFwFFQINBlYFQlBdVAZfRANeBgBeEQJYUQVfRAMxVlNRQVRcV1ZQT1dbUTtW" TargetMode="External"/><Relationship Id="rId3" Type="http://schemas.openxmlformats.org/officeDocument/2006/relationships/hyperlink" Target="https://www.lcsc.com/product-detail/C85930.html?spm=wm.fly.bg.0.cbh___wm.fly.tp.4.ml&amp;lcsc_vid=RFZeBFwFFQINBlYFQlBdVAZfRANeBgBeEQJYUQVfRAMxVlNRQVRcV1ZQT1dbUTtW" TargetMode="External"/><Relationship Id="rId4" Type="http://schemas.openxmlformats.org/officeDocument/2006/relationships/hyperlink" Target="https://www.lcsc.com/product-detail/C77020.html?spm=wm.fly.bg.0.xh___wm.fly.tp.4.ml&amp;lcsc_vid=RFZeBFwFFQINBlYFQlBdVAZfRANeBgBeEQJYUQVfRAMxVlNRQVRcV1ZQT1dbUTtW" TargetMode="External"/><Relationship Id="rId5" Type="http://schemas.openxmlformats.org/officeDocument/2006/relationships/hyperlink" Target="https://www.lcsc.com/product-detail/C77020.html?spm=wm.fly.bg.0.cbh___wm.fly.tp.4.ml&amp;lcsc_vid=RFZeBFwFFQINBlYFQlBdVAZfRANeBgBeEQJYUQVfRAMxVlNRQVRcV1ZQT1dbUTtW" TargetMode="External"/><Relationship Id="rId6" Type="http://schemas.openxmlformats.org/officeDocument/2006/relationships/hyperlink" Target="https://www.lcsc.com/product-detail/C3845593.html?s_z=n_C3845593" TargetMode="External"/><Relationship Id="rId7" Type="http://schemas.openxmlformats.org/officeDocument/2006/relationships/hyperlink" Target="https://www.lcsc.com/product-detail/C77000.html?s_z=n_C77000" TargetMode="External"/><Relationship Id="rId8" Type="http://schemas.openxmlformats.org/officeDocument/2006/relationships/hyperlink" Target="https://www.lcsc.com/product-detail/C77009.html?spm=wm.fly.bg.0.xh___wm.fly.tp.4.ml&amp;lcsc_vid=RFZeBFwFFQINBlYFQlBdVAZfRANeBgBeEQJYUQVfRAMxVlNRQVRcV1ZQT1dbUTtW" TargetMode="External"/><Relationship Id="rId9" Type="http://schemas.openxmlformats.org/officeDocument/2006/relationships/hyperlink" Target="https://www.lcsc.com/product-detail/C77009.html?spm=wm.fly.bg.0.cbh___wm.fly.tp.4.ml&amp;lcsc_vid=RFZeBFwFFQINBlYFQlBdVAZfRANeBgBeEQJYUQVfRAMxVlNRQVRcV1ZQT1dbUTtW" TargetMode="External"/><Relationship Id="rId10" Type="http://schemas.openxmlformats.org/officeDocument/2006/relationships/hyperlink" Target="https://www.lcsc.com/product-detail/C77009.html" TargetMode="External"/><Relationship Id="rId11" Type="http://schemas.openxmlformats.org/officeDocument/2006/relationships/hyperlink" Target="https://www.lcsc.com/product-detail/C111566.html?s_z=n_C111566" TargetMode="External"/><Relationship Id="rId12" Type="http://schemas.openxmlformats.org/officeDocument/2006/relationships/hyperlink" Target="https://www.lcsc.com/product-detail/C917188.html?spm=wm.fly.bg.0.xh&amp;lcsc_vid=RFZeBFwFFQINBlYFQlBdVAZfRANeBgBeEQJYUQVfRAMxVlNRQVRcVVRTTlNWXjtW" TargetMode="External"/><Relationship Id="rId13" Type="http://schemas.openxmlformats.org/officeDocument/2006/relationships/hyperlink" Target="https://www.lcsc.com/product-detail/C917188.html?spm=wm.fly.bg.0.cbh&amp;lcsc_vid=RFZeBFwFFQINBlYFQlBdVAZfRANeBgBeEQJYUQVfRAMxVlNRQVRcVVRTTlNWXjtW" TargetMode="External"/><Relationship Id="rId14" Type="http://schemas.openxmlformats.org/officeDocument/2006/relationships/hyperlink" Target="https://www.lcsc.com/product-detail/C273598.html?spm=wm.fly.bg.0.xh&amp;lcsc_vid=RFZeBFwFFQINBlYFQlBdVAZfRANeBgBeEQJYUQVfRAMxVlNRQVRcVVRTTlNWXjtW" TargetMode="External"/><Relationship Id="rId15" Type="http://schemas.openxmlformats.org/officeDocument/2006/relationships/hyperlink" Target="https://www.lcsc.com/product-detail/C273598.html?spm=wm.fly.bg.0.cbh&amp;lcsc_vid=RFZeBFwFFQINBlYFQlBdVAZfRANeBgBeEQJYUQVfRAMxVlNRQVRcVVRTTlNWXjtW" TargetMode="External"/><Relationship Id="rId16" Type="http://schemas.openxmlformats.org/officeDocument/2006/relationships/hyperlink" Target="https://www.lcsc.com/product-detail/" TargetMode="External"/><Relationship Id="rId17" Type="http://schemas.openxmlformats.org/officeDocument/2006/relationships/hyperlink" Target="https://www.lcsc.com/product-detail/C917191.html?spm=wm.fly.bg.0.xh&amp;lcsc_vid=RFZeBFwFFQINBlYFQlBdVAZfRANeBgBeEQJYUQVfRAMxVlNRQVRcVVRTTlNWXjtW" TargetMode="External"/><Relationship Id="rId18" Type="http://schemas.openxmlformats.org/officeDocument/2006/relationships/hyperlink" Target="https://www.lcsc.com/product-detail/C917191.html?spm=wm.fly.bg.0.cbh&amp;lcsc_vid=RFZeBFwFFQINBlYFQlBdVAZfRANeBgBeEQJYUQVfRAMxVlNRQVRcVVRTTlNWXjtW" TargetMode="External"/><Relationship Id="rId19" Type="http://schemas.openxmlformats.org/officeDocument/2006/relationships/hyperlink" Target="https://www.lcsc.com/product-detail/C511042.html?s_z=n_C511042" TargetMode="External"/><Relationship Id="rId20" Type="http://schemas.openxmlformats.org/officeDocument/2006/relationships/hyperlink" Target="https://www.lcsc.com/product-detail/C41348159.html?s_z=n_ESD9101P2T5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true" showOutlineSymbols="true" defaultGridColor="true" view="normal" topLeftCell="B1" colorId="64" zoomScale="80" zoomScaleNormal="80" zoomScalePageLayoutView="100" workbookViewId="0">
      <selection pane="topLeft" activeCell="C17" activeCellId="0" sqref="C17"/>
    </sheetView>
  </sheetViews>
  <sheetFormatPr defaultColWidth="11.60546875" defaultRowHeight="12.8" zeroHeight="false" outlineLevelRow="0" outlineLevelCol="0"/>
  <cols>
    <col collapsed="false" customWidth="true" hidden="false" outlineLevel="0" max="1" min="1" style="1" width="7.88"/>
    <col collapsed="false" customWidth="true" hidden="false" outlineLevel="0" max="2" min="2" style="2" width="15.46"/>
    <col collapsed="false" customWidth="true" hidden="false" outlineLevel="0" max="3" min="3" style="2" width="33.34"/>
    <col collapsed="false" customWidth="true" hidden="false" outlineLevel="0" max="4" min="4" style="1" width="7.88"/>
    <col collapsed="false" customWidth="true" hidden="false" outlineLevel="0" max="5" min="5" style="2" width="13.06"/>
    <col collapsed="false" customWidth="true" hidden="false" outlineLevel="0" max="6" min="6" style="2" width="16.88"/>
    <col collapsed="false" customWidth="true" hidden="false" outlineLevel="0" max="7" min="7" style="2" width="25.28"/>
    <col collapsed="false" customWidth="true" hidden="false" outlineLevel="0" max="8" min="8" style="3" width="26.32"/>
    <col collapsed="false" customWidth="true" hidden="false" outlineLevel="0" max="9" min="9" style="2" width="11.76"/>
    <col collapsed="false" customWidth="true" hidden="false" outlineLevel="0" max="10" min="10" style="2" width="14.21"/>
    <col collapsed="false" customWidth="true" hidden="false" outlineLevel="0" max="11" min="11" style="2" width="6.94"/>
    <col collapsed="false" customWidth="true" hidden="false" outlineLevel="0" max="12" min="12" style="2" width="10.19"/>
    <col collapsed="false" customWidth="true" hidden="false" outlineLevel="0" max="13" min="13" style="2" width="23.08"/>
    <col collapsed="false" customWidth="true" hidden="false" outlineLevel="0" max="15" min="15" style="2" width="8.61"/>
  </cols>
  <sheetData>
    <row r="1" customFormat="false" ht="12.9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4" t="s">
        <v>5</v>
      </c>
      <c r="G1" s="5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6"/>
      <c r="B2" s="2" t="s">
        <v>15</v>
      </c>
      <c r="C2" s="2" t="s">
        <v>16</v>
      </c>
      <c r="D2" s="2" t="n">
        <v>2</v>
      </c>
      <c r="E2" s="2" t="s">
        <v>17</v>
      </c>
      <c r="F2" s="7" t="s">
        <v>18</v>
      </c>
      <c r="G2" s="2" t="s">
        <v>19</v>
      </c>
      <c r="H2" s="3" t="s">
        <v>20</v>
      </c>
      <c r="I2" s="7" t="s">
        <v>21</v>
      </c>
      <c r="J2" s="8" t="s">
        <v>22</v>
      </c>
      <c r="K2" s="9" t="n">
        <v>0.81</v>
      </c>
      <c r="L2" s="7" t="n">
        <f aca="false">D2*K2</f>
        <v>1.62</v>
      </c>
      <c r="P2" s="7"/>
    </row>
    <row r="3" customFormat="false" ht="12.8" hidden="false" customHeight="false" outlineLevel="0" collapsed="false">
      <c r="A3" s="6"/>
      <c r="B3" s="2" t="s">
        <v>23</v>
      </c>
      <c r="C3" s="2" t="s">
        <v>24</v>
      </c>
      <c r="D3" s="2" t="n">
        <v>1</v>
      </c>
      <c r="E3" s="7" t="s">
        <v>17</v>
      </c>
      <c r="F3" s="7" t="s">
        <v>18</v>
      </c>
      <c r="G3" s="10" t="s">
        <v>25</v>
      </c>
      <c r="H3" s="3" t="s">
        <v>26</v>
      </c>
      <c r="I3" s="10" t="s">
        <v>27</v>
      </c>
      <c r="J3" s="8" t="s">
        <v>28</v>
      </c>
      <c r="K3" s="9" t="n">
        <v>0.22</v>
      </c>
      <c r="L3" s="7" t="n">
        <f aca="false">D3*K3</f>
        <v>0.22</v>
      </c>
      <c r="P3" s="7"/>
    </row>
    <row r="4" customFormat="false" ht="12.8" hidden="false" customHeight="false" outlineLevel="0" collapsed="false">
      <c r="A4" s="6"/>
      <c r="B4" s="2" t="s">
        <v>29</v>
      </c>
      <c r="C4" s="2" t="s">
        <v>16</v>
      </c>
      <c r="D4" s="2" t="n">
        <v>2</v>
      </c>
      <c r="E4" s="2" t="s">
        <v>17</v>
      </c>
      <c r="F4" s="7" t="s">
        <v>18</v>
      </c>
      <c r="G4" s="10" t="s">
        <v>30</v>
      </c>
      <c r="H4" s="2" t="s">
        <v>31</v>
      </c>
      <c r="I4" s="10" t="s">
        <v>32</v>
      </c>
      <c r="J4" s="8" t="s">
        <v>33</v>
      </c>
      <c r="K4" s="9" t="n">
        <v>0.33</v>
      </c>
      <c r="L4" s="7" t="n">
        <f aca="false">D4*K4</f>
        <v>0.66</v>
      </c>
      <c r="P4" s="7"/>
    </row>
    <row r="5" customFormat="false" ht="12.8" hidden="false" customHeight="false" outlineLevel="0" collapsed="false">
      <c r="A5" s="6"/>
      <c r="B5" s="2" t="s">
        <v>34</v>
      </c>
      <c r="C5" s="2" t="s">
        <v>16</v>
      </c>
      <c r="D5" s="2" t="n">
        <v>1</v>
      </c>
      <c r="E5" s="7" t="s">
        <v>17</v>
      </c>
      <c r="F5" s="7" t="s">
        <v>18</v>
      </c>
      <c r="G5" s="2" t="s">
        <v>35</v>
      </c>
      <c r="H5" s="3" t="s">
        <v>36</v>
      </c>
      <c r="I5" s="7" t="s">
        <v>37</v>
      </c>
      <c r="J5" s="8" t="s">
        <v>38</v>
      </c>
      <c r="K5" s="9" t="n">
        <v>0.57</v>
      </c>
      <c r="L5" s="7" t="n">
        <f aca="false">D5*K5</f>
        <v>0.57</v>
      </c>
      <c r="P5" s="7"/>
    </row>
    <row r="6" customFormat="false" ht="12.8" hidden="false" customHeight="false" outlineLevel="0" collapsed="false">
      <c r="A6" s="6"/>
      <c r="B6" s="2" t="s">
        <v>39</v>
      </c>
      <c r="C6" s="2" t="s">
        <v>16</v>
      </c>
      <c r="D6" s="2" t="n">
        <v>3</v>
      </c>
      <c r="E6" s="7" t="s">
        <v>17</v>
      </c>
      <c r="F6" s="7" t="s">
        <v>18</v>
      </c>
      <c r="G6" s="2" t="s">
        <v>40</v>
      </c>
      <c r="H6" s="3" t="s">
        <v>41</v>
      </c>
      <c r="I6" s="7" t="s">
        <v>42</v>
      </c>
      <c r="J6" s="8" t="s">
        <v>43</v>
      </c>
      <c r="K6" s="9" t="n">
        <v>0.58</v>
      </c>
      <c r="L6" s="7" t="n">
        <f aca="false">D6*K6</f>
        <v>1.74</v>
      </c>
      <c r="P6" s="7"/>
    </row>
    <row r="7" customFormat="false" ht="12.8" hidden="false" customHeight="false" outlineLevel="0" collapsed="false">
      <c r="A7" s="6"/>
      <c r="B7" s="2" t="s">
        <v>44</v>
      </c>
      <c r="C7" s="2" t="s">
        <v>16</v>
      </c>
      <c r="D7" s="2" t="n">
        <v>2</v>
      </c>
      <c r="E7" s="7" t="s">
        <v>17</v>
      </c>
      <c r="F7" s="7" t="s">
        <v>18</v>
      </c>
      <c r="G7" s="10" t="s">
        <v>45</v>
      </c>
      <c r="H7" s="2" t="s">
        <v>46</v>
      </c>
      <c r="I7" s="10" t="s">
        <v>47</v>
      </c>
      <c r="J7" s="8" t="s">
        <v>48</v>
      </c>
      <c r="K7" s="9" t="n">
        <v>0.69</v>
      </c>
      <c r="L7" s="7" t="n">
        <f aca="false">D7*K7</f>
        <v>1.38</v>
      </c>
      <c r="P7" s="7"/>
    </row>
    <row r="8" customFormat="false" ht="12.8" hidden="false" customHeight="false" outlineLevel="0" collapsed="false">
      <c r="A8" s="6"/>
      <c r="B8" s="2" t="s">
        <v>49</v>
      </c>
      <c r="C8" s="2" t="s">
        <v>50</v>
      </c>
      <c r="D8" s="2" t="n">
        <v>1</v>
      </c>
      <c r="E8" s="2" t="s">
        <v>51</v>
      </c>
      <c r="F8" s="2" t="s">
        <v>52</v>
      </c>
      <c r="G8" s="7" t="s">
        <v>51</v>
      </c>
      <c r="H8" s="3" t="s">
        <v>51</v>
      </c>
      <c r="I8" s="7" t="s">
        <v>53</v>
      </c>
      <c r="J8" s="8" t="s">
        <v>54</v>
      </c>
      <c r="K8" s="9" t="n">
        <v>0.04</v>
      </c>
      <c r="L8" s="7" t="n">
        <f aca="false">D8*K8</f>
        <v>0.04</v>
      </c>
      <c r="P8" s="7"/>
    </row>
    <row r="9" customFormat="false" ht="12.9" hidden="false" customHeight="false" outlineLevel="0" collapsed="false">
      <c r="A9" s="6"/>
      <c r="B9" s="2" t="s">
        <v>55</v>
      </c>
      <c r="C9" s="2" t="s">
        <v>56</v>
      </c>
      <c r="D9" s="2" t="n">
        <v>1</v>
      </c>
      <c r="E9" s="2" t="s">
        <v>57</v>
      </c>
      <c r="F9" s="7" t="s">
        <v>58</v>
      </c>
      <c r="G9" s="11" t="s">
        <v>59</v>
      </c>
      <c r="H9" s="2" t="s">
        <v>60</v>
      </c>
      <c r="I9" s="10" t="s">
        <v>61</v>
      </c>
      <c r="J9" s="8" t="s">
        <v>62</v>
      </c>
      <c r="K9" s="9" t="n">
        <v>0.66</v>
      </c>
      <c r="L9" s="7"/>
      <c r="P9" s="7"/>
    </row>
    <row r="10" customFormat="false" ht="12.9" hidden="false" customHeight="false" outlineLevel="0" collapsed="false">
      <c r="A10" s="6"/>
      <c r="B10" s="2" t="s">
        <v>63</v>
      </c>
      <c r="C10" s="2" t="s">
        <v>56</v>
      </c>
      <c r="D10" s="2" t="n">
        <v>1</v>
      </c>
      <c r="E10" s="2" t="s">
        <v>64</v>
      </c>
      <c r="F10" s="7" t="s">
        <v>58</v>
      </c>
      <c r="G10" s="11" t="s">
        <v>65</v>
      </c>
      <c r="H10" s="3" t="s">
        <v>64</v>
      </c>
      <c r="I10" s="10" t="s">
        <v>66</v>
      </c>
      <c r="J10" s="8" t="s">
        <v>67</v>
      </c>
      <c r="K10" s="9" t="n">
        <v>0.41</v>
      </c>
      <c r="L10" s="7" t="n">
        <f aca="false">D10*K10</f>
        <v>0.41</v>
      </c>
      <c r="P10" s="7"/>
    </row>
    <row r="11" customFormat="false" ht="12.8" hidden="false" customHeight="false" outlineLevel="0" collapsed="false">
      <c r="A11" s="6"/>
      <c r="B11" s="2" t="s">
        <v>68</v>
      </c>
      <c r="C11" s="2" t="s">
        <v>56</v>
      </c>
      <c r="D11" s="2" t="n">
        <v>1</v>
      </c>
      <c r="E11" s="2" t="s">
        <v>69</v>
      </c>
      <c r="F11" s="7" t="s">
        <v>58</v>
      </c>
      <c r="G11" s="10" t="s">
        <v>70</v>
      </c>
      <c r="H11" s="3" t="s">
        <v>69</v>
      </c>
      <c r="I11" s="10" t="s">
        <v>71</v>
      </c>
      <c r="J11" s="8" t="s">
        <v>72</v>
      </c>
      <c r="K11" s="9" t="n">
        <v>0.48</v>
      </c>
      <c r="L11" s="7"/>
      <c r="P11" s="7"/>
    </row>
    <row r="12" customFormat="false" ht="12.8" hidden="false" customHeight="false" outlineLevel="0" collapsed="false">
      <c r="A12" s="6"/>
      <c r="B12" s="2" t="s">
        <v>73</v>
      </c>
      <c r="C12" s="2" t="s">
        <v>56</v>
      </c>
      <c r="D12" s="2" t="n">
        <v>1</v>
      </c>
      <c r="E12" s="2" t="s">
        <v>74</v>
      </c>
      <c r="F12" s="7" t="s">
        <v>75</v>
      </c>
      <c r="G12" s="2" t="s">
        <v>76</v>
      </c>
      <c r="H12" s="3" t="s">
        <v>74</v>
      </c>
      <c r="I12" s="7" t="s">
        <v>77</v>
      </c>
      <c r="J12" s="8" t="s">
        <v>78</v>
      </c>
      <c r="K12" s="9" t="n">
        <v>0.2</v>
      </c>
      <c r="L12" s="7"/>
      <c r="P12" s="7"/>
    </row>
    <row r="13" customFormat="false" ht="12.8" hidden="false" customHeight="false" outlineLevel="0" collapsed="false">
      <c r="A13" s="6"/>
      <c r="B13" s="2" t="s">
        <v>79</v>
      </c>
      <c r="C13" s="2" t="s">
        <v>50</v>
      </c>
      <c r="D13" s="2" t="n">
        <v>2</v>
      </c>
      <c r="E13" s="2" t="s">
        <v>80</v>
      </c>
      <c r="F13" s="2" t="s">
        <v>52</v>
      </c>
      <c r="G13" s="2" t="s">
        <v>80</v>
      </c>
      <c r="H13" s="3" t="s">
        <v>80</v>
      </c>
      <c r="I13" s="7" t="s">
        <v>81</v>
      </c>
      <c r="J13" s="8" t="s">
        <v>82</v>
      </c>
      <c r="K13" s="9" t="n">
        <v>0.56</v>
      </c>
      <c r="L13" s="7"/>
      <c r="P13" s="7"/>
    </row>
    <row r="14" customFormat="false" ht="12.8" hidden="false" customHeight="false" outlineLevel="0" collapsed="false">
      <c r="A14" s="6"/>
      <c r="B14" s="2" t="s">
        <v>83</v>
      </c>
      <c r="C14" s="2" t="s">
        <v>84</v>
      </c>
      <c r="D14" s="2" t="n">
        <v>1</v>
      </c>
      <c r="E14" s="2" t="s">
        <v>85</v>
      </c>
      <c r="I14" s="7"/>
      <c r="J14" s="8"/>
      <c r="K14" s="9"/>
      <c r="L14" s="7"/>
      <c r="P14" s="7"/>
    </row>
    <row r="15" customFormat="false" ht="12.8" hidden="false" customHeight="false" outlineLevel="0" collapsed="false">
      <c r="A15" s="6"/>
      <c r="B15" s="2" t="s">
        <v>86</v>
      </c>
      <c r="C15" s="2" t="s">
        <v>87</v>
      </c>
      <c r="D15" s="2" t="n">
        <v>1</v>
      </c>
      <c r="E15" s="2" t="s">
        <v>88</v>
      </c>
      <c r="G15" s="7"/>
      <c r="I15" s="7"/>
      <c r="J15" s="8"/>
      <c r="K15" s="9"/>
      <c r="L15" s="7"/>
      <c r="N15" s="8"/>
      <c r="P15" s="7"/>
    </row>
    <row r="16" customFormat="false" ht="12.8" hidden="false" customHeight="false" outlineLevel="0" collapsed="false">
      <c r="A16" s="6"/>
      <c r="B16" s="2" t="s">
        <v>89</v>
      </c>
      <c r="C16" s="2" t="s">
        <v>90</v>
      </c>
      <c r="D16" s="2" t="n">
        <v>2</v>
      </c>
      <c r="E16" s="2" t="s">
        <v>91</v>
      </c>
      <c r="F16" s="7"/>
      <c r="I16" s="7"/>
      <c r="J16" s="8"/>
      <c r="K16" s="9"/>
      <c r="L16" s="7"/>
      <c r="N16" s="8"/>
      <c r="P16" s="7"/>
    </row>
    <row r="17" customFormat="false" ht="12.8" hidden="false" customHeight="false" outlineLevel="0" collapsed="false">
      <c r="A17" s="6"/>
      <c r="B17" s="2" t="s">
        <v>92</v>
      </c>
      <c r="D17" s="2" t="n">
        <v>1</v>
      </c>
      <c r="E17" s="2" t="s">
        <v>93</v>
      </c>
      <c r="G17" s="2" t="s">
        <v>94</v>
      </c>
      <c r="I17" s="7"/>
      <c r="J17" s="8"/>
      <c r="K17" s="9"/>
      <c r="L17" s="7"/>
      <c r="P17" s="7"/>
    </row>
    <row r="18" customFormat="false" ht="12.8" hidden="false" customHeight="false" outlineLevel="0" collapsed="false">
      <c r="A18" s="6"/>
      <c r="B18" s="2" t="s">
        <v>95</v>
      </c>
      <c r="C18" s="2" t="s">
        <v>96</v>
      </c>
      <c r="D18" s="2" t="n">
        <v>1</v>
      </c>
      <c r="E18" s="2" t="s">
        <v>97</v>
      </c>
      <c r="G18" s="2" t="s">
        <v>98</v>
      </c>
      <c r="I18" s="7"/>
      <c r="J18" s="8"/>
      <c r="K18" s="9"/>
      <c r="L18" s="7"/>
      <c r="N18" s="8"/>
      <c r="P18" s="7"/>
    </row>
    <row r="19" customFormat="false" ht="12.8" hidden="false" customHeight="false" outlineLevel="0" collapsed="false">
      <c r="A19" s="6"/>
      <c r="B19" s="2" t="s">
        <v>99</v>
      </c>
      <c r="C19" s="2" t="s">
        <v>100</v>
      </c>
      <c r="D19" s="2" t="n">
        <v>1</v>
      </c>
      <c r="E19" s="2" t="s">
        <v>101</v>
      </c>
      <c r="G19" s="7"/>
      <c r="I19" s="7"/>
      <c r="J19" s="8"/>
      <c r="K19" s="9"/>
      <c r="L19" s="7"/>
      <c r="N19" s="8"/>
      <c r="P19" s="7"/>
    </row>
    <row r="20" customFormat="false" ht="12.8" hidden="false" customHeight="false" outlineLevel="0" collapsed="false">
      <c r="A20" s="6"/>
      <c r="B20" s="2" t="s">
        <v>102</v>
      </c>
      <c r="C20" s="2" t="s">
        <v>100</v>
      </c>
      <c r="D20" s="2" t="n">
        <v>2</v>
      </c>
      <c r="E20" s="2" t="s">
        <v>103</v>
      </c>
      <c r="F20" s="7"/>
      <c r="G20" s="7"/>
      <c r="I20" s="7"/>
      <c r="J20" s="7"/>
      <c r="K20" s="9"/>
      <c r="L20" s="7"/>
      <c r="P20" s="7"/>
    </row>
    <row r="21" customFormat="false" ht="12.8" hidden="false" customHeight="false" outlineLevel="0" collapsed="false">
      <c r="A21" s="6"/>
      <c r="B21" s="2" t="s">
        <v>104</v>
      </c>
      <c r="C21" s="2" t="s">
        <v>100</v>
      </c>
      <c r="D21" s="2" t="n">
        <v>2</v>
      </c>
      <c r="E21" s="2" t="s">
        <v>105</v>
      </c>
      <c r="I21" s="7"/>
      <c r="J21" s="8"/>
      <c r="K21" s="9"/>
      <c r="L21" s="7"/>
      <c r="N21" s="8"/>
      <c r="P21" s="7"/>
    </row>
    <row r="22" customFormat="false" ht="12.8" hidden="false" customHeight="false" outlineLevel="0" collapsed="false">
      <c r="A22" s="6"/>
      <c r="B22" s="2" t="s">
        <v>106</v>
      </c>
      <c r="C22" s="2" t="s">
        <v>100</v>
      </c>
      <c r="D22" s="2" t="n">
        <v>1</v>
      </c>
      <c r="E22" s="2" t="s">
        <v>107</v>
      </c>
      <c r="G22" s="7"/>
      <c r="J22" s="12"/>
      <c r="K22" s="9"/>
      <c r="L22" s="7"/>
      <c r="P22" s="7"/>
    </row>
    <row r="23" customFormat="false" ht="12.8" hidden="false" customHeight="false" outlineLevel="0" collapsed="false">
      <c r="A23" s="6"/>
      <c r="B23" s="2" t="s">
        <v>108</v>
      </c>
      <c r="C23" s="2" t="s">
        <v>100</v>
      </c>
      <c r="D23" s="2" t="n">
        <v>1</v>
      </c>
      <c r="E23" s="3" t="n">
        <v>300</v>
      </c>
      <c r="F23" s="7"/>
      <c r="G23" s="7"/>
      <c r="I23" s="7"/>
      <c r="J23" s="7"/>
      <c r="K23" s="9"/>
      <c r="L23" s="7"/>
      <c r="P23" s="7"/>
    </row>
    <row r="24" customFormat="false" ht="12.8" hidden="false" customHeight="false" outlineLevel="0" collapsed="false">
      <c r="A24" s="6"/>
      <c r="B24" s="2" t="s">
        <v>109</v>
      </c>
      <c r="C24" s="2" t="s">
        <v>100</v>
      </c>
      <c r="D24" s="2" t="n">
        <v>2</v>
      </c>
      <c r="E24" s="2" t="s">
        <v>110</v>
      </c>
      <c r="F24" s="7"/>
      <c r="G24" s="7"/>
      <c r="H24" s="2"/>
      <c r="I24" s="7"/>
      <c r="J24" s="7"/>
      <c r="K24" s="9"/>
      <c r="L24" s="7"/>
      <c r="P24" s="7"/>
    </row>
    <row r="25" customFormat="false" ht="12.8" hidden="false" customHeight="false" outlineLevel="0" collapsed="false">
      <c r="A25" s="6"/>
      <c r="B25" s="2" t="s">
        <v>111</v>
      </c>
      <c r="C25" s="2" t="s">
        <v>100</v>
      </c>
      <c r="D25" s="2" t="n">
        <v>4</v>
      </c>
      <c r="E25" s="2" t="s">
        <v>112</v>
      </c>
      <c r="F25" s="7"/>
      <c r="G25" s="7"/>
      <c r="H25" s="2"/>
      <c r="I25" s="7"/>
      <c r="J25" s="7"/>
      <c r="K25" s="9"/>
      <c r="L25" s="7"/>
      <c r="P25" s="7"/>
    </row>
    <row r="26" customFormat="false" ht="12.8" hidden="false" customHeight="false" outlineLevel="0" collapsed="false">
      <c r="A26" s="6"/>
      <c r="B26" s="2" t="s">
        <v>113</v>
      </c>
      <c r="C26" s="2" t="s">
        <v>100</v>
      </c>
      <c r="D26" s="2" t="n">
        <v>1</v>
      </c>
      <c r="E26" s="2" t="s">
        <v>114</v>
      </c>
      <c r="F26" s="7"/>
      <c r="G26" s="7"/>
      <c r="H26" s="2"/>
      <c r="I26" s="7"/>
      <c r="J26" s="7"/>
      <c r="K26" s="9"/>
      <c r="L26" s="7"/>
      <c r="P26" s="7"/>
    </row>
    <row r="27" customFormat="false" ht="12.8" hidden="false" customHeight="false" outlineLevel="0" collapsed="false">
      <c r="A27" s="0" t="n">
        <v>28</v>
      </c>
      <c r="B27" s="0" t="s">
        <v>115</v>
      </c>
      <c r="C27" s="0" t="s">
        <v>116</v>
      </c>
      <c r="D27" s="0" t="n">
        <v>1</v>
      </c>
      <c r="E27" s="0" t="s">
        <v>117</v>
      </c>
      <c r="F27" s="0"/>
      <c r="G27" s="0"/>
      <c r="H27" s="0"/>
      <c r="I27" s="0"/>
      <c r="J27" s="0"/>
      <c r="K27" s="0"/>
      <c r="L27" s="0"/>
      <c r="M27" s="0"/>
      <c r="O27" s="0"/>
    </row>
    <row r="28" customFormat="false" ht="12.8" hidden="false" customHeight="false" outlineLevel="0" collapsed="false">
      <c r="A28" s="0" t="n">
        <v>29</v>
      </c>
      <c r="B28" s="0" t="s">
        <v>118</v>
      </c>
      <c r="C28" s="0" t="s">
        <v>116</v>
      </c>
      <c r="D28" s="0" t="n">
        <v>1</v>
      </c>
      <c r="E28" s="0" t="s">
        <v>117</v>
      </c>
      <c r="F28" s="0"/>
      <c r="G28" s="0"/>
      <c r="H28" s="0"/>
      <c r="I28" s="0"/>
      <c r="J28" s="0"/>
      <c r="K28" s="0"/>
      <c r="L28" s="0"/>
      <c r="M28" s="0"/>
      <c r="O28" s="0"/>
    </row>
    <row r="29" customFormat="false" ht="12.8" hidden="false" customHeight="false" outlineLevel="0" collapsed="false">
      <c r="A29" s="6"/>
      <c r="B29" s="2" t="s">
        <v>119</v>
      </c>
      <c r="C29" s="2" t="s">
        <v>120</v>
      </c>
      <c r="D29" s="2" t="n">
        <v>1</v>
      </c>
      <c r="E29" s="2" t="s">
        <v>121</v>
      </c>
      <c r="F29" s="2" t="s">
        <v>122</v>
      </c>
      <c r="G29" s="7"/>
      <c r="H29" s="2"/>
      <c r="I29" s="7"/>
      <c r="J29" s="7"/>
      <c r="K29" s="9"/>
      <c r="L29" s="7"/>
      <c r="P29" s="7"/>
    </row>
    <row r="30" customFormat="false" ht="12.8" hidden="false" customHeight="false" outlineLevel="0" collapsed="false">
      <c r="A30" s="6"/>
      <c r="B30" s="2" t="s">
        <v>123</v>
      </c>
      <c r="C30" s="2" t="s">
        <v>124</v>
      </c>
      <c r="D30" s="2" t="n">
        <v>1</v>
      </c>
      <c r="E30" s="2" t="s">
        <v>125</v>
      </c>
      <c r="G30" s="7"/>
      <c r="H30" s="2"/>
      <c r="I30" s="7"/>
      <c r="J30" s="7"/>
      <c r="K30" s="9"/>
      <c r="L30" s="7"/>
      <c r="P30" s="7"/>
    </row>
    <row r="31" customFormat="false" ht="12.8" hidden="false" customHeight="false" outlineLevel="0" collapsed="false">
      <c r="A31" s="6"/>
      <c r="B31" s="2" t="s">
        <v>126</v>
      </c>
      <c r="C31" s="2" t="s">
        <v>127</v>
      </c>
      <c r="D31" s="2" t="n">
        <v>1</v>
      </c>
      <c r="E31" s="2" t="s">
        <v>128</v>
      </c>
      <c r="G31" s="7"/>
      <c r="H31" s="2"/>
      <c r="I31" s="7"/>
      <c r="J31" s="7"/>
      <c r="K31" s="9"/>
      <c r="L31" s="7"/>
      <c r="P31" s="7"/>
    </row>
    <row r="32" customFormat="false" ht="12.8" hidden="false" customHeight="false" outlineLevel="0" collapsed="false">
      <c r="A32" s="6"/>
      <c r="B32" s="2" t="s">
        <v>129</v>
      </c>
      <c r="C32" s="2" t="s">
        <v>130</v>
      </c>
      <c r="D32" s="2" t="n">
        <v>1</v>
      </c>
      <c r="E32" s="2" t="s">
        <v>131</v>
      </c>
      <c r="G32" s="7"/>
      <c r="H32" s="2"/>
      <c r="I32" s="7"/>
      <c r="J32" s="7"/>
      <c r="K32" s="9"/>
      <c r="L32" s="7"/>
      <c r="P32" s="7"/>
    </row>
    <row r="33" customFormat="false" ht="12.8" hidden="false" customHeight="false" outlineLevel="0" collapsed="false">
      <c r="A33" s="6"/>
      <c r="D33" s="2"/>
      <c r="F33" s="7"/>
      <c r="G33" s="7"/>
      <c r="H33" s="2"/>
      <c r="I33" s="7"/>
      <c r="J33" s="7"/>
      <c r="K33" s="9"/>
      <c r="L33" s="7"/>
      <c r="P33" s="7"/>
    </row>
    <row r="34" customFormat="false" ht="12.8" hidden="false" customHeight="false" outlineLevel="0" collapsed="false">
      <c r="A34" s="6"/>
      <c r="F34" s="7"/>
      <c r="G34" s="7"/>
      <c r="H34" s="2"/>
      <c r="I34" s="7"/>
      <c r="J34" s="7"/>
      <c r="K34" s="9"/>
      <c r="L34" s="7"/>
      <c r="P34" s="7"/>
    </row>
    <row r="35" customFormat="false" ht="12.8" hidden="false" customHeight="false" outlineLevel="0" collapsed="false">
      <c r="A35" s="6"/>
      <c r="F35" s="7"/>
      <c r="G35" s="7"/>
      <c r="H35" s="2"/>
      <c r="I35" s="7"/>
      <c r="J35" s="7"/>
      <c r="K35" s="9"/>
      <c r="L35" s="7"/>
      <c r="P35" s="7"/>
    </row>
    <row r="36" customFormat="false" ht="12.8" hidden="false" customHeight="false" outlineLevel="0" collapsed="false">
      <c r="A36" s="6"/>
      <c r="G36" s="7"/>
      <c r="I36" s="7"/>
      <c r="J36" s="8"/>
      <c r="K36" s="9"/>
      <c r="L36" s="7"/>
      <c r="N36" s="8"/>
      <c r="P36" s="7"/>
    </row>
    <row r="37" customFormat="false" ht="12.8" hidden="false" customHeight="false" outlineLevel="0" collapsed="false">
      <c r="A37" s="6"/>
      <c r="E37" s="7"/>
      <c r="F37" s="7"/>
      <c r="I37" s="7"/>
      <c r="J37" s="8"/>
      <c r="K37" s="9"/>
      <c r="L37" s="7"/>
      <c r="P37" s="7"/>
    </row>
    <row r="38" customFormat="false" ht="12.8" hidden="false" customHeight="false" outlineLevel="0" collapsed="false">
      <c r="A38" s="6"/>
      <c r="E38" s="7"/>
      <c r="F38" s="7"/>
      <c r="I38" s="7"/>
      <c r="J38" s="8"/>
      <c r="K38" s="9"/>
      <c r="L38" s="7"/>
      <c r="P38" s="7"/>
    </row>
    <row r="39" customFormat="false" ht="12.8" hidden="false" customHeight="false" outlineLevel="0" collapsed="false">
      <c r="A39" s="6"/>
      <c r="F39" s="7"/>
      <c r="I39" s="7"/>
      <c r="J39" s="8"/>
      <c r="K39" s="9"/>
      <c r="L39" s="7"/>
      <c r="P39" s="7"/>
    </row>
    <row r="40" customFormat="false" ht="12.8" hidden="false" customHeight="false" outlineLevel="0" collapsed="false">
      <c r="A40" s="6"/>
      <c r="E40" s="7"/>
      <c r="F40" s="7"/>
      <c r="I40" s="7"/>
      <c r="J40" s="8"/>
      <c r="K40" s="9"/>
      <c r="L40" s="7"/>
      <c r="P40" s="7"/>
    </row>
    <row r="41" customFormat="false" ht="12.8" hidden="false" customHeight="false" outlineLevel="0" collapsed="false">
      <c r="A41" s="6"/>
      <c r="E41" s="7"/>
      <c r="F41" s="7"/>
      <c r="I41" s="7"/>
      <c r="J41" s="8"/>
      <c r="K41" s="9"/>
      <c r="L41" s="7"/>
      <c r="P41" s="7"/>
    </row>
    <row r="42" customFormat="false" ht="12.8" hidden="false" customHeight="false" outlineLevel="0" collapsed="false">
      <c r="A42" s="6"/>
      <c r="I42" s="7"/>
      <c r="J42" s="8"/>
      <c r="K42" s="9"/>
      <c r="L42" s="7"/>
      <c r="N42" s="8"/>
      <c r="P42" s="7"/>
    </row>
    <row r="43" customFormat="false" ht="12.9" hidden="false" customHeight="false" outlineLevel="0" collapsed="false">
      <c r="A43" s="6"/>
      <c r="I43" s="7"/>
      <c r="J43" s="8"/>
      <c r="K43" s="9"/>
      <c r="L43" s="7"/>
      <c r="N43" s="8"/>
      <c r="P43" s="7"/>
    </row>
    <row r="44" customFormat="false" ht="12.8" hidden="false" customHeight="false" outlineLevel="0" collapsed="false">
      <c r="A44" s="2"/>
      <c r="D44" s="2"/>
      <c r="H44" s="2"/>
    </row>
    <row r="45" customFormat="false" ht="12.8" hidden="false" customHeight="false" outlineLevel="0" collapsed="false">
      <c r="A45" s="2"/>
      <c r="D45" s="2"/>
      <c r="H45" s="2"/>
    </row>
    <row r="47" customFormat="false" ht="12.8" hidden="false" customHeight="false" outlineLevel="0" collapsed="false">
      <c r="P47" s="7"/>
      <c r="Q47" s="7"/>
    </row>
  </sheetData>
  <hyperlinks>
    <hyperlink ref="J2" r:id="rId1" display="https://www.lcsc.com/product-detail/C77004.html?s_z=n_C77004"/>
    <hyperlink ref="G3" r:id="rId2" display="GRM033R71E103KE14D"/>
    <hyperlink ref="I3" r:id="rId3" display="C85930"/>
    <hyperlink ref="G4" r:id="rId4" display="GRM155R71H104KE14"/>
    <hyperlink ref="I4" r:id="rId5" display="C77020"/>
    <hyperlink ref="J5" r:id="rId6" display="https://www.lcsc.com/product-detail/C3845593.html?s_z=n_C3845593"/>
    <hyperlink ref="J6" r:id="rId7" display="https://www.lcsc.com/product-detail/C77000.html?s_z=n_C77000"/>
    <hyperlink ref="G7" r:id="rId8" display="GRM155R61E105KA12"/>
    <hyperlink ref="I7" r:id="rId9" display="C77009"/>
    <hyperlink ref="J7" r:id="rId10" display="https://www.lcsc.com/product-detail/C77009.html"/>
    <hyperlink ref="J8" r:id="rId11" display="https://www.lcsc.com/product-detail/C111566.html?s_z=n_C111566"/>
    <hyperlink ref="G9" r:id="rId12" display="TJ-S1005CL4T5ALC2G-A5"/>
    <hyperlink ref="I9" r:id="rId13" display="C917188"/>
    <hyperlink ref="G10" r:id="rId14" display="TJ-S1005SW4TGLC2R-A5"/>
    <hyperlink ref="I10" r:id="rId15" display="C273598"/>
    <hyperlink ref="J10" r:id="rId16" display="https://www.lcsc.com/product-detail/C273598.html"/>
    <hyperlink ref="G11" r:id="rId17" display="TJ-S1005CL4T5ALC3D"/>
    <hyperlink ref="I11" r:id="rId18" display="C917191"/>
    <hyperlink ref="J12" r:id="rId19" display="https://www.lcsc.com/product-detail/C511042.html?s_z=n_C511042"/>
    <hyperlink ref="J13" r:id="rId20" display="https://www.lcsc.com/product-detail/C41348159.html?s_z=n_ESD9101P2T5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2026-06-03T12:30:40Z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