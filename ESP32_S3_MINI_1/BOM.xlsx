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<sst xmlns="http://schemas.openxmlformats.org/spreadsheetml/2006/main" count="317" uniqueCount="250">
  <si>
    <t xml:space="preserve">Id</t>
  </si>
  <si>
    <t xml:space="preserve">Designator</t>
  </si>
  <si>
    <t xml:space="preserve">Footprint</t>
  </si>
  <si>
    <t xml:space="preserve">Quantity</t>
  </si>
  <si>
    <t xml:space="preserve">Item</t>
  </si>
  <si>
    <t xml:space="preserve">Manufacturer</t>
  </si>
  <si>
    <t xml:space="preserve">Mfg Part #</t>
  </si>
  <si>
    <t xml:space="preserve">Description/Value</t>
  </si>
  <si>
    <t xml:space="preserve">Part # LCSC</t>
  </si>
  <si>
    <t xml:space="preserve">LCSC</t>
  </si>
  <si>
    <t xml:space="preserve">Cost LCSC</t>
  </si>
  <si>
    <t xml:space="preserve">Part # Mouser</t>
  </si>
  <si>
    <t xml:space="preserve">Mouser website</t>
  </si>
  <si>
    <t xml:space="preserve">Cost Mouser</t>
  </si>
  <si>
    <t xml:space="preserve">C11,C12,C10,C15,C4</t>
  </si>
  <si>
    <t xml:space="preserve">C_0402_1005Metric</t>
  </si>
  <si>
    <t xml:space="preserve">Capacitor</t>
  </si>
  <si>
    <t xml:space="preserve">muRata</t>
  </si>
  <si>
    <t xml:space="preserve">GRM155R71A104KA01D</t>
  </si>
  <si>
    <t xml:space="preserve">0u1F</t>
  </si>
  <si>
    <t xml:space="preserve">C71687</t>
  </si>
  <si>
    <t xml:space="preserve">https://www.lcsc.com/product-detail/C71687.html?s_z=n_C71687</t>
  </si>
  <si>
    <t xml:space="preserve">C14</t>
  </si>
  <si>
    <t xml:space="preserve">YAGEO</t>
  </si>
  <si>
    <t xml:space="preserve">CC0402KRX7R6BB103</t>
  </si>
  <si>
    <t xml:space="preserve">10nF</t>
  </si>
  <si>
    <t xml:space="preserve">C541371</t>
  </si>
  <si>
    <t xml:space="preserve">https://www.lcsc.com/product-detail/C541371.html?s_z=n_C541371</t>
  </si>
  <si>
    <t xml:space="preserve">C3</t>
  </si>
  <si>
    <t xml:space="preserve">GRM158R61A226ME15D</t>
  </si>
  <si>
    <t xml:space="preserve">22uF</t>
  </si>
  <si>
    <t xml:space="preserve">C3845593</t>
  </si>
  <si>
    <t xml:space="preserve">https://www.lcsc.com/product-detail/C3845593.html?s_z=n_C3845593</t>
  </si>
  <si>
    <t xml:space="preserve">C5,C1,C2,C6</t>
  </si>
  <si>
    <t xml:space="preserve">GRM155R61A106ME44D</t>
  </si>
  <si>
    <t xml:space="preserve">10uF</t>
  </si>
  <si>
    <t xml:space="preserve">C77000</t>
  </si>
  <si>
    <t xml:space="preserve">https://www.lcsc.com/product-detail/C77000.html?s_z=n_C77000</t>
  </si>
  <si>
    <t xml:space="preserve">C7,C8</t>
  </si>
  <si>
    <t xml:space="preserve">GCM155C71A105KE38D</t>
  </si>
  <si>
    <t xml:space="preserve">1uF</t>
  </si>
  <si>
    <t xml:space="preserve">C126521</t>
  </si>
  <si>
    <t xml:space="preserve">https://www.lcsc.com/product-detail/C126521.html?s_z=n_C126521</t>
  </si>
  <si>
    <t xml:space="preserve">C9</t>
  </si>
  <si>
    <t xml:space="preserve">GRM155R61A475KEAAD</t>
  </si>
  <si>
    <t xml:space="preserve">4u7F</t>
  </si>
  <si>
    <t xml:space="preserve">C77004</t>
  </si>
  <si>
    <t xml:space="preserve">https://www.lcsc.com/product-detail/C77004.html?s_z=n_C77004</t>
  </si>
  <si>
    <t xml:space="preserve">D1</t>
  </si>
  <si>
    <t xml:space="preserve">D_SOD-923</t>
  </si>
  <si>
    <t xml:space="preserve">V_USB ESD</t>
  </si>
  <si>
    <t xml:space="preserve">onSemi</t>
  </si>
  <si>
    <t xml:space="preserve">ESD9B5.0ST5G</t>
  </si>
  <si>
    <t xml:space="preserve">C111566</t>
  </si>
  <si>
    <t xml:space="preserve">https://www.lcsc.com/product-detail/C111566.html?s_z=n_C111566</t>
  </si>
  <si>
    <t xml:space="preserve">863-ESD9B5.0ST5G</t>
  </si>
  <si>
    <t xml:space="preserve">https://www.mouser.com/ProductDetail/onsemi/ESD9B5.0ST5G?qs=HL4IEvuNMQqfrGPZiLZXfQ%3D%3D</t>
  </si>
  <si>
    <t xml:space="preserve">D2</t>
  </si>
  <si>
    <t xml:space="preserve">LED_0402_1005Metric</t>
  </si>
  <si>
    <t xml:space="preserve">LED</t>
  </si>
  <si>
    <t xml:space="preserve">Vishay</t>
  </si>
  <si>
    <t xml:space="preserve">VLMG1500-GS08</t>
  </si>
  <si>
    <t xml:space="preserve">LED GRN</t>
  </si>
  <si>
    <t xml:space="preserve">C511404</t>
  </si>
  <si>
    <t xml:space="preserve">https://www.lcsc.com/product-detail/C511404.html?s_z=n_C511404</t>
  </si>
  <si>
    <t xml:space="preserve">78-VLMG1500-GS08</t>
  </si>
  <si>
    <t xml:space="preserve">https://www.mouser.com/ProductDetail/Vishay-Semiconductors/VLMG1500-GS08?qs=sGAEpiMZZMusoohG2hS%252B1wnrwteRv1Gyyt8mFMZNC68%3D</t>
  </si>
  <si>
    <t xml:space="preserve">D3</t>
  </si>
  <si>
    <t xml:space="preserve">VLMS1500-GS08</t>
  </si>
  <si>
    <t xml:space="preserve">LED RED</t>
  </si>
  <si>
    <t xml:space="preserve">C511370</t>
  </si>
  <si>
    <t xml:space="preserve">https://www.lcsc.com/product-detail/C511370.html?s_z=n_C511370</t>
  </si>
  <si>
    <t xml:space="preserve">78-VLMS1500-GS08</t>
  </si>
  <si>
    <t xml:space="preserve">https://www.mouser.com/ProductDetail/Vishay-Semiconductors/VLMS1500-GS08?qs=sGAEpiMZZMusoohG2hS%252B1wnrwteRv1GyyC6NY435%2FeU%3D</t>
  </si>
  <si>
    <t xml:space="preserve">D4,D5</t>
  </si>
  <si>
    <t xml:space="preserve">VLMB1500-GS08</t>
  </si>
  <si>
    <t xml:space="preserve">LED BLUE</t>
  </si>
  <si>
    <t xml:space="preserve">C511042</t>
  </si>
  <si>
    <t xml:space="preserve">https://www.lcsc.com/product-detail/C511042.html?s_z=n_C511042</t>
  </si>
  <si>
    <t xml:space="preserve">78-VLMB1500-GS08</t>
  </si>
  <si>
    <t xml:space="preserve">https://www.mouser.com/ProductDetail/Vishay-Semiconductors/VLMB1500-GS08?qs=sGAEpiMZZMusoohG2hS%252B1wnrwteRv1GyZtw3dXGb%252B5U%3D</t>
  </si>
  <si>
    <t xml:space="preserve">D6</t>
  </si>
  <si>
    <t xml:space="preserve">WS2812_2020</t>
  </si>
  <si>
    <t xml:space="preserve">RGB LED</t>
  </si>
  <si>
    <t xml:space="preserve">Worldsemi</t>
  </si>
  <si>
    <t xml:space="preserve">WS2812B-2020</t>
  </si>
  <si>
    <t xml:space="preserve">WS2812B</t>
  </si>
  <si>
    <t xml:space="preserve">C965555</t>
  </si>
  <si>
    <t xml:space="preserve">https://www.lcsc.com/product-detail/C965555.html?s_z=n_C965555</t>
  </si>
  <si>
    <t xml:space="preserve">D7,D8</t>
  </si>
  <si>
    <t xml:space="preserve">USB ESD</t>
  </si>
  <si>
    <t xml:space="preserve">Onsemi</t>
  </si>
  <si>
    <t xml:space="preserve">ESD9101P2T5G</t>
  </si>
  <si>
    <t xml:space="preserve">C41348159</t>
  </si>
  <si>
    <t xml:space="preserve">https://www.lcsc.com/product-detail/C41348159.html?s_z=n_ESD9101P2T5G</t>
  </si>
  <si>
    <t xml:space="preserve">863-ESD9101P2T5G</t>
  </si>
  <si>
    <t xml:space="preserve">https://www.mouser.com/ProductDetail/onsemi/ESD9101P2T5G?qs=5aG0NVq1C4ySlMx2D5w2xw%3D%3D</t>
  </si>
  <si>
    <t xml:space="preserve">IC1</t>
  </si>
  <si>
    <t xml:space="preserve">TPS6282533DMQR</t>
  </si>
  <si>
    <t xml:space="preserve">Volt Regulator</t>
  </si>
  <si>
    <t xml:space="preserve">TI</t>
  </si>
  <si>
    <t xml:space="preserve">C3189971</t>
  </si>
  <si>
    <t xml:space="preserve">https://www.lcsc.com/product-detail/C3189971.html?s_z=n_C3189971</t>
  </si>
  <si>
    <t xml:space="preserve">595-TPS6282533DMQR</t>
  </si>
  <si>
    <t xml:space="preserve">https://www.mouser.com/ProductDetail/Texas-Instruments/TPS6282533DMQR?qs=e8oIoAS2J1TctVdod4W0lA%3D%3D</t>
  </si>
  <si>
    <t xml:space="preserve">IC2</t>
  </si>
  <si>
    <t xml:space="preserve">SON40P220X200X80-11N</t>
  </si>
  <si>
    <t xml:space="preserve">Bat Charger</t>
  </si>
  <si>
    <t xml:space="preserve">BQ25185DLHR</t>
  </si>
  <si>
    <t xml:space="preserve">C19725033</t>
  </si>
  <si>
    <t xml:space="preserve">https://www.lcsc.com/product-detail/C19725033.html?s_z=n_C19725033</t>
  </si>
  <si>
    <t xml:space="preserve">595-BQ25185DLHR</t>
  </si>
  <si>
    <t xml:space="preserve">https://www.mouser.com/ProductDetail/Texas-Instruments/BQ25185DLHR?qs=Z%252BL2brAPG1IbO%2FV3RqsaPw%3D%3D</t>
  </si>
  <si>
    <t xml:space="preserve">J1</t>
  </si>
  <si>
    <t xml:space="preserve">JST_1x02_P2.0mm_Horizontal_SMD</t>
  </si>
  <si>
    <t xml:space="preserve">Connector</t>
  </si>
  <si>
    <t xml:space="preserve">JST</t>
  </si>
  <si>
    <t xml:space="preserve">JST S2B-PH-SM4-TB</t>
  </si>
  <si>
    <t xml:space="preserve">JST_2mm_LiPo, SMF, right angle</t>
  </si>
  <si>
    <t xml:space="preserve">C295747</t>
  </si>
  <si>
    <t xml:space="preserve">https://www.lcsc.com/product-detail/C295747.html?s_z=n_C295747</t>
  </si>
  <si>
    <t xml:space="preserve">306-S2BPHSM4TBLFSN</t>
  </si>
  <si>
    <t xml:space="preserve">https://www.mouser.com/ProductDetail/JST-Commercial/S2B-PH-SM4-TBLFSN?qs=QpmGXVUTftGPIOdg%2F2bstg%3D%3D</t>
  </si>
  <si>
    <t xml:space="preserve">J2</t>
  </si>
  <si>
    <t xml:space="preserve">USB412003C</t>
  </si>
  <si>
    <t xml:space="preserve">GCT</t>
  </si>
  <si>
    <t xml:space="preserve">USB4120-03-C</t>
  </si>
  <si>
    <t xml:space="preserve">C3445864</t>
  </si>
  <si>
    <t xml:space="preserve">https://www.lcsc.com/product-detail/C3445864.html?s_z=n_C3445864</t>
  </si>
  <si>
    <t xml:space="preserve">640-USB4120-03-C</t>
  </si>
  <si>
    <t xml:space="preserve">https://www.mouser.com/ProductDetail/GCT/USB4120-03-C?qs=KUoIvG%2F9IlZaAd13sVDhkQ%3D%3D</t>
  </si>
  <si>
    <t xml:space="preserve">J3</t>
  </si>
  <si>
    <t xml:space="preserve">JST_1x04_P1.0mm_Vertical_SMD</t>
  </si>
  <si>
    <t xml:space="preserve">BOOMELE</t>
  </si>
  <si>
    <t xml:space="preserve">1.0T-4PLTPZ</t>
  </si>
  <si>
    <t xml:space="preserve">Qwiic_Vertical</t>
  </si>
  <si>
    <t xml:space="preserve">C2974722</t>
  </si>
  <si>
    <t xml:space="preserve">https://www.lcsc.com/product-detail/C2974722.html</t>
  </si>
  <si>
    <t xml:space="preserve">J7,J4</t>
  </si>
  <si>
    <t xml:space="preserve">Castellated_1x01_P2.54mm_D0.80mm</t>
  </si>
  <si>
    <t xml:space="preserve">D.N.P.</t>
  </si>
  <si>
    <t xml:space="preserve">Castellated_1x01</t>
  </si>
  <si>
    <t xml:space="preserve">Do No Populate</t>
  </si>
  <si>
    <t xml:space="preserve">J8</t>
  </si>
  <si>
    <t xml:space="preserve">Castellated_1x16_P2.54mm_D0.80mm</t>
  </si>
  <si>
    <t xml:space="preserve">Castellated_1x16</t>
  </si>
  <si>
    <t xml:space="preserve">J9</t>
  </si>
  <si>
    <t xml:space="preserve">Castellated_1x18_P2.54mm_D0.80mm</t>
  </si>
  <si>
    <t xml:space="preserve">Castellated_1x18</t>
  </si>
  <si>
    <t xml:space="preserve">L1</t>
  </si>
  <si>
    <t xml:space="preserve">C_0603</t>
  </si>
  <si>
    <t xml:space="preserve">Inductor</t>
  </si>
  <si>
    <t xml:space="preserve">TDK</t>
  </si>
  <si>
    <t xml:space="preserve">TFM160808ALC-R47MTAA</t>
  </si>
  <si>
    <t xml:space="preserve">C695609</t>
  </si>
  <si>
    <t xml:space="preserve">https://www.lcsc.com/product-detail/C695609.html?s_z=n_C695609</t>
  </si>
  <si>
    <t xml:space="preserve">810-TFM160808ALCR47A</t>
  </si>
  <si>
    <t xml:space="preserve">https://www.mouser.com/ProductDetail/TDK/TFM160808ALC-R47MTAA?qs=3SnDZBG9J%252B6tokb499UWsQ%3D%3D</t>
  </si>
  <si>
    <t xml:space="preserve">R1,R8</t>
  </si>
  <si>
    <t xml:space="preserve">R_0402_1005Metric</t>
  </si>
  <si>
    <t xml:space="preserve">Resistor</t>
  </si>
  <si>
    <t xml:space="preserve">RC0402FR-07100KL</t>
  </si>
  <si>
    <t xml:space="preserve">100k</t>
  </si>
  <si>
    <t xml:space="preserve">C60491</t>
  </si>
  <si>
    <t xml:space="preserve">https://www.lcsc.com/product-detail/C60491.html?s_z=n_C60491</t>
  </si>
  <si>
    <t xml:space="preserve">R14,R16</t>
  </si>
  <si>
    <t xml:space="preserve">RC0402FR-074K7L</t>
  </si>
  <si>
    <t xml:space="preserve">4k7</t>
  </si>
  <si>
    <t xml:space="preserve">C105871</t>
  </si>
  <si>
    <t xml:space="preserve">https://www.lcsc.com/product-detail/C105871.html?s_z=n_C105871</t>
  </si>
  <si>
    <t xml:space="preserve">R15</t>
  </si>
  <si>
    <t xml:space="preserve">RC0402FR-07330RL</t>
  </si>
  <si>
    <t xml:space="preserve">C105875</t>
  </si>
  <si>
    <t xml:space="preserve">https://www.lcsc.com/product-detail/C105875.html?s_z=n_C105875</t>
  </si>
  <si>
    <t xml:space="preserve">R2</t>
  </si>
  <si>
    <t xml:space="preserve">RC0402FR-0718KL</t>
  </si>
  <si>
    <t xml:space="preserve">18k</t>
  </si>
  <si>
    <t xml:space="preserve">C138044</t>
  </si>
  <si>
    <t xml:space="preserve">https://www.lcsc.com/product-detail/C138044.html?s_z=n_C138044</t>
  </si>
  <si>
    <t xml:space="preserve">R3</t>
  </si>
  <si>
    <t xml:space="preserve">RC0402FR-07300RL</t>
  </si>
  <si>
    <t xml:space="preserve">C138010</t>
  </si>
  <si>
    <t xml:space="preserve">https://www.lcsc.com/product-detail/C138010.html?s_z=n_C138010</t>
  </si>
  <si>
    <t xml:space="preserve">R4,R5</t>
  </si>
  <si>
    <t xml:space="preserve">RC0402FR-075K1L</t>
  </si>
  <si>
    <t xml:space="preserve">5k1</t>
  </si>
  <si>
    <t xml:space="preserve">C105872</t>
  </si>
  <si>
    <t xml:space="preserve">https://www.lcsc.com/product-detail/C105872.html?s_z=n_C105872</t>
  </si>
  <si>
    <t xml:space="preserve">R9,R12,R10,R11</t>
  </si>
  <si>
    <t xml:space="preserve">RC0402FR-072K2L</t>
  </si>
  <si>
    <t xml:space="preserve">2k2</t>
  </si>
  <si>
    <t xml:space="preserve">C114762</t>
  </si>
  <si>
    <t xml:space="preserve">https://www.lcsc.com/product-detail/C114762.html?s_z=n_C114762</t>
  </si>
  <si>
    <t xml:space="preserve">S1,S2</t>
  </si>
  <si>
    <t xml:space="preserve">NANOT160AS</t>
  </si>
  <si>
    <t xml:space="preserve">Micro Switch</t>
  </si>
  <si>
    <t xml:space="preserve">C&amp;K</t>
  </si>
  <si>
    <t xml:space="preserve">C2760981</t>
  </si>
  <si>
    <t xml:space="preserve">https://www.lcsc.com/product-detail/C2760981.html?s_z=n_C2760981</t>
  </si>
  <si>
    <t xml:space="preserve">611-NANOT160AS</t>
  </si>
  <si>
    <t xml:space="preserve">https://www.mouser.com/ProductDetail/CK/NANOT160AS?qs=OlC7AqGiEDnK60t%2FC6IJyA%3D%3D</t>
  </si>
  <si>
    <t xml:space="preserve">R13,R17</t>
  </si>
  <si>
    <t xml:space="preserve">RC0402FR-0710KL</t>
  </si>
  <si>
    <t xml:space="preserve">10k</t>
  </si>
  <si>
    <t xml:space="preserve">C60490</t>
  </si>
  <si>
    <t xml:space="preserve">https://www.lcsc.com/product-detail/C60490.html?s_z=n_C60490</t>
  </si>
  <si>
    <t xml:space="preserve">TH1</t>
  </si>
  <si>
    <t xml:space="preserve">Thermistor</t>
  </si>
  <si>
    <t xml:space="preserve">MURATA</t>
  </si>
  <si>
    <t xml:space="preserve">NCP15XH103F03RC</t>
  </si>
  <si>
    <t xml:space="preserve">10k NTC</t>
  </si>
  <si>
    <t xml:space="preserve">C77131</t>
  </si>
  <si>
    <t xml:space="preserve">https://www.lcsc.com/product-detail/C77131.html?s_z=n_C77131</t>
  </si>
  <si>
    <t xml:space="preserve">U2</t>
  </si>
  <si>
    <t xml:space="preserve">ESP32-S2-MINI-1 SMD</t>
  </si>
  <si>
    <t xml:space="preserve">MCU Module</t>
  </si>
  <si>
    <t xml:space="preserve">Espressif</t>
  </si>
  <si>
    <t xml:space="preserve">ESP32-S3-MINI-1-N8</t>
  </si>
  <si>
    <t xml:space="preserve">ESP32 S3 Mini 1 8MB Flash</t>
  </si>
  <si>
    <t xml:space="preserve">C2913206</t>
  </si>
  <si>
    <t xml:space="preserve">https://www.lcsc.com/product-detail/C2913206.html?s_z=n_C2913206</t>
  </si>
  <si>
    <t xml:space="preserve">U3</t>
  </si>
  <si>
    <t xml:space="preserve">DFN-8_2x2mm_P0.5mm_EP1.2x0.8mm</t>
  </si>
  <si>
    <t xml:space="preserve">Bat Gauge</t>
  </si>
  <si>
    <t xml:space="preserve">Maxim</t>
  </si>
  <si>
    <t xml:space="preserve">MAXIM MAX17048G+T10</t>
  </si>
  <si>
    <t xml:space="preserve">MAX17048</t>
  </si>
  <si>
    <t xml:space="preserve">C2682616</t>
  </si>
  <si>
    <t xml:space="preserve">https://www.lcsc.com/product-detail/C2682616.html?s_z=n_C2682616</t>
  </si>
  <si>
    <t xml:space="preserve">700-MAX17048G+T10</t>
  </si>
  <si>
    <t xml:space="preserve">https://www.mouser.com/ProductDetail/Analog-Devices-Maxim-Integrated/MAX17048G%2bT10?qs=D7PJwyCwLAoGnnn8jEPRBQ%3D%3D</t>
  </si>
  <si>
    <t xml:space="preserve">U4</t>
  </si>
  <si>
    <t xml:space="preserve">SOT-563</t>
  </si>
  <si>
    <t xml:space="preserve">Temp Sensor</t>
  </si>
  <si>
    <t xml:space="preserve">Texas Instruments</t>
  </si>
  <si>
    <t xml:space="preserve">TMP102AIDRLR</t>
  </si>
  <si>
    <t xml:space="preserve">TMP102</t>
  </si>
  <si>
    <t xml:space="preserve">C99269</t>
  </si>
  <si>
    <t xml:space="preserve">https://www.lcsc.com/product-detail/C99269.html?s_z=n_C99269</t>
  </si>
  <si>
    <t xml:space="preserve">595-TMP102AQDRLRQ1</t>
  </si>
  <si>
    <t xml:space="preserve">https://www.mouser.com/ProductDetail/Texas-Instruments/TMP102AQDRLRQ1?qs=asCBFxFfL1SM%2FKfsYcTt1w%3D%3D</t>
  </si>
  <si>
    <t xml:space="preserve">U5,U1</t>
  </si>
  <si>
    <t xml:space="preserve">SOT-363_SC-70-6</t>
  </si>
  <si>
    <t xml:space="preserve">Ideal Diode</t>
  </si>
  <si>
    <t xml:space="preserve">LM66100DCK</t>
  </si>
  <si>
    <t xml:space="preserve">Ideal Diode, Input Polarity Prot.</t>
  </si>
  <si>
    <t xml:space="preserve">C2869734</t>
  </si>
  <si>
    <t xml:space="preserve">https://www.lcsc.com/product-detail/C2869734.html?s_z=n_C2869734</t>
  </si>
  <si>
    <t xml:space="preserve">595-LM66100DCKT</t>
  </si>
  <si>
    <t xml:space="preserve">https://www.mouser.com/ProductDetail/Texas-Instruments/LM66100DCKT?qs=vLWxofP3U2zoiBCtDTudjw%3D%3D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</si>
</sst>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71687.html?s_z=n_C71687" TargetMode="External"/><Relationship Id="rId2" Type="http://schemas.openxmlformats.org/officeDocument/2006/relationships/hyperlink" Target="https://www.lcsc.com/product-detail/C541371.html?s_z=n_C541371" TargetMode="External"/><Relationship Id="rId3" Type="http://schemas.openxmlformats.org/officeDocument/2006/relationships/hyperlink" Target="https://www.lcsc.com/product-detail/C3845593.html?s_z=n_C3845593" TargetMode="External"/><Relationship Id="rId4" Type="http://schemas.openxmlformats.org/officeDocument/2006/relationships/hyperlink" Target="https://www.lcsc.com/product-detail/C77000.html?s_z=n_C77000" TargetMode="External"/><Relationship Id="rId5" Type="http://schemas.openxmlformats.org/officeDocument/2006/relationships/hyperlink" Target="https://www.lcsc.com/product-detail/C126521.html?s_z=n_C126521" TargetMode="External"/><Relationship Id="rId6" Type="http://schemas.openxmlformats.org/officeDocument/2006/relationships/hyperlink" Target="https://www.lcsc.com/product-detail/C77004.html?s_z=n_C77004" TargetMode="External"/><Relationship Id="rId7" Type="http://schemas.openxmlformats.org/officeDocument/2006/relationships/hyperlink" Target="https://www.lcsc.com/product-detail/C111566.html?s_z=n_C111566" TargetMode="External"/><Relationship Id="rId8" Type="http://schemas.openxmlformats.org/officeDocument/2006/relationships/hyperlink" Target="https://www.lcsc.com/product-detail/C511404.html?s_z=n_C511404" TargetMode="External"/><Relationship Id="rId9" Type="http://schemas.openxmlformats.org/officeDocument/2006/relationships/hyperlink" Target="https://www.lcsc.com/product-detail/C511370.html?s_z=n_C511370" TargetMode="External"/><Relationship Id="rId10" Type="http://schemas.openxmlformats.org/officeDocument/2006/relationships/hyperlink" Target="https://www.lcsc.com/product-detail/C511042.html?s_z=n_C511042" TargetMode="External"/><Relationship Id="rId11" Type="http://schemas.openxmlformats.org/officeDocument/2006/relationships/hyperlink" Target="https://www.lcsc.com/product-detail/C965555.html?s_z=n_C965555" TargetMode="External"/><Relationship Id="rId12" Type="http://schemas.openxmlformats.org/officeDocument/2006/relationships/hyperlink" Target="https://www.lcsc.com/product-detail/C41348159.html?s_z=n_ESD9101P2T5G" TargetMode="External"/><Relationship Id="rId13" Type="http://schemas.openxmlformats.org/officeDocument/2006/relationships/hyperlink" Target="https://www.lcsc.com/product-detail/C3189971.html?s_z=n_C3189971" TargetMode="External"/><Relationship Id="rId14" Type="http://schemas.openxmlformats.org/officeDocument/2006/relationships/hyperlink" Target="https://www.lcsc.com/product-detail/C19725033.html?s_z=n_C19725033" TargetMode="External"/><Relationship Id="rId15" Type="http://schemas.openxmlformats.org/officeDocument/2006/relationships/hyperlink" Target="https://www.lcsc.com/product-detail/C295747.html?s_z=n_C295747" TargetMode="External"/><Relationship Id="rId16" Type="http://schemas.openxmlformats.org/officeDocument/2006/relationships/hyperlink" Target="https://www.lcsc.com/product-detail/C3445864.html?s_z=n_C3445864" TargetMode="External"/><Relationship Id="rId17" Type="http://schemas.openxmlformats.org/officeDocument/2006/relationships/hyperlink" Target="https://www.lcsc.com/product-detail/C695609.html?s_z=n_C695609" TargetMode="External"/><Relationship Id="rId18" Type="http://schemas.openxmlformats.org/officeDocument/2006/relationships/hyperlink" Target="https://www.lcsc.com/product-detail/C60491.html?s_z=n_C60491" TargetMode="External"/><Relationship Id="rId19" Type="http://schemas.openxmlformats.org/officeDocument/2006/relationships/hyperlink" Target="https://www.lcsc.com/product-detail/C105871.html?s_z=n_C105871" TargetMode="External"/><Relationship Id="rId20" Type="http://schemas.openxmlformats.org/officeDocument/2006/relationships/hyperlink" Target="https://www.lcsc.com/product-detail/C105875.html?s_z=n_C105875" TargetMode="External"/><Relationship Id="rId21" Type="http://schemas.openxmlformats.org/officeDocument/2006/relationships/hyperlink" Target="https://www.lcsc.com/product-detail/C138044.html?s_z=n_C138044" TargetMode="External"/><Relationship Id="rId22" Type="http://schemas.openxmlformats.org/officeDocument/2006/relationships/hyperlink" Target="https://www.lcsc.com/product-detail/C138010.html?s_z=n_C138010" TargetMode="External"/><Relationship Id="rId23" Type="http://schemas.openxmlformats.org/officeDocument/2006/relationships/hyperlink" Target="https://www.lcsc.com/product-detail/C105872.html?s_z=n_C105872" TargetMode="External"/><Relationship Id="rId24" Type="http://schemas.openxmlformats.org/officeDocument/2006/relationships/hyperlink" Target="https://www.lcsc.com/product-detail/C114762.html?s_z=n_C114762" TargetMode="External"/><Relationship Id="rId25" Type="http://schemas.openxmlformats.org/officeDocument/2006/relationships/hyperlink" Target="https://www.lcsc.com/product-detail/C2760981.html?s_z=n_C2760981" TargetMode="External"/><Relationship Id="rId26" Type="http://schemas.openxmlformats.org/officeDocument/2006/relationships/hyperlink" Target="https://www.lcsc.com/product-detail/C60490.html?s_z=n_C60490" TargetMode="External"/><Relationship Id="rId27" Type="http://schemas.openxmlformats.org/officeDocument/2006/relationships/hyperlink" Target="https://www.lcsc.com/product-detail/C77131.html?s_z=n_C77131" TargetMode="External"/><Relationship Id="rId28" Type="http://schemas.openxmlformats.org/officeDocument/2006/relationships/hyperlink" Target="https://www.lcsc.com/product-detail/C2913206.html?s_z=n_C2913206" TargetMode="External"/><Relationship Id="rId29" Type="http://schemas.openxmlformats.org/officeDocument/2006/relationships/hyperlink" Target="https://www.lcsc.com/product-detail/C2682616.html?s_z=n_C2682616" TargetMode="External"/><Relationship Id="rId30" Type="http://schemas.openxmlformats.org/officeDocument/2006/relationships/hyperlink" Target="https://www.lcsc.com/product-detail/C99269.html?s_z=n_C99269" TargetMode="External"/><Relationship Id="rId31" Type="http://schemas.openxmlformats.org/officeDocument/2006/relationships/hyperlink" Target="https://www.lcsc.com/product-detail/C2869734.html?s_z=n_C2869734" TargetMode="External"/><Relationship Id="rId32" Type="http://schemas.openxmlformats.org/officeDocument/2006/relationships/hyperlink" Target="https://www.mouser.com/ProductDetail/Texas-Instruments/LM66100DCKT?qs=vLWxofP3U2zoiBCtDTudjw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true" showOutlineSymbols="true" defaultGridColor="true" view="normal" topLeftCell="A20" colorId="64" zoomScale="150" zoomScaleNormal="150" zoomScalePageLayoutView="100" workbookViewId="0">
      <selection pane="topLeft" activeCell="K21" activeCellId="0" sqref="K2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18.8"/>
    <col collapsed="false" customWidth="true" hidden="false" outlineLevel="0" max="3" min="3" style="1" width="15.77"/>
    <col collapsed="false" customWidth="true" hidden="false" outlineLevel="0" max="4" min="4" style="1" width="7.32"/>
    <col collapsed="false" customWidth="true" hidden="false" outlineLevel="0" max="5" min="5" style="1" width="11.86"/>
    <col collapsed="false" customWidth="false" hidden="false" outlineLevel="0" max="6" min="6" style="1" width="11.58"/>
    <col collapsed="false" customWidth="true" hidden="false" outlineLevel="0" max="7" min="7" style="1" width="18.92"/>
    <col collapsed="false" customWidth="true" hidden="false" outlineLevel="0" max="8" min="8" style="2" width="23.38"/>
    <col collapsed="false" customWidth="true" hidden="false" outlineLevel="0" max="10" min="9" style="1" width="14.2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1" t="n">
        <v>1</v>
      </c>
      <c r="B2" s="1" t="s">
        <v>14</v>
      </c>
      <c r="C2" s="5" t="s">
        <v>15</v>
      </c>
      <c r="D2" s="1" t="n">
        <v>5</v>
      </c>
      <c r="E2" s="5" t="s">
        <v>16</v>
      </c>
      <c r="F2" s="5" t="s">
        <v>17</v>
      </c>
      <c r="G2" s="1" t="s">
        <v>18</v>
      </c>
      <c r="H2" s="2" t="s">
        <v>19</v>
      </c>
      <c r="I2" s="5" t="s">
        <v>20</v>
      </c>
      <c r="J2" s="6" t="s">
        <v>21</v>
      </c>
      <c r="K2" s="5" t="n">
        <v>0.32</v>
      </c>
      <c r="L2" s="5" t="n">
        <f aca="false">K2*D2</f>
        <v>1.6</v>
      </c>
      <c r="P2" s="5"/>
    </row>
    <row r="3" customFormat="false" ht="12.8" hidden="false" customHeight="false" outlineLevel="0" collapsed="false">
      <c r="A3" s="5" t="n">
        <f aca="false">A2+1</f>
        <v>2</v>
      </c>
      <c r="B3" s="1" t="s">
        <v>22</v>
      </c>
      <c r="C3" s="1" t="s">
        <v>15</v>
      </c>
      <c r="D3" s="1" t="n">
        <v>1</v>
      </c>
      <c r="E3" s="5" t="s">
        <v>16</v>
      </c>
      <c r="F3" s="5" t="s">
        <v>23</v>
      </c>
      <c r="G3" s="1" t="s">
        <v>24</v>
      </c>
      <c r="H3" s="2" t="s">
        <v>25</v>
      </c>
      <c r="I3" s="5" t="s">
        <v>26</v>
      </c>
      <c r="J3" s="6" t="s">
        <v>27</v>
      </c>
      <c r="K3" s="5" t="n">
        <v>0.13</v>
      </c>
      <c r="L3" s="5" t="n">
        <f aca="false">K3*D3</f>
        <v>0.13</v>
      </c>
      <c r="P3" s="5"/>
    </row>
    <row r="4" customFormat="false" ht="12.8" hidden="false" customHeight="false" outlineLevel="0" collapsed="false">
      <c r="A4" s="5" t="n">
        <f aca="false">A3+1</f>
        <v>3</v>
      </c>
      <c r="B4" s="1" t="s">
        <v>28</v>
      </c>
      <c r="C4" s="1" t="s">
        <v>15</v>
      </c>
      <c r="D4" s="1" t="n">
        <v>1</v>
      </c>
      <c r="E4" s="5" t="s">
        <v>16</v>
      </c>
      <c r="F4" s="5" t="s">
        <v>17</v>
      </c>
      <c r="G4" s="1" t="s">
        <v>29</v>
      </c>
      <c r="H4" s="2" t="s">
        <v>30</v>
      </c>
      <c r="I4" s="5" t="s">
        <v>31</v>
      </c>
      <c r="J4" s="6" t="s">
        <v>32</v>
      </c>
      <c r="K4" s="5" t="n">
        <v>0.57</v>
      </c>
      <c r="L4" s="5" t="n">
        <f aca="false">K4*D4</f>
        <v>0.57</v>
      </c>
      <c r="P4" s="5"/>
    </row>
    <row r="5" customFormat="false" ht="12.8" hidden="false" customHeight="false" outlineLevel="0" collapsed="false">
      <c r="A5" s="5" t="n">
        <f aca="false">A4+1</f>
        <v>4</v>
      </c>
      <c r="B5" s="1" t="s">
        <v>33</v>
      </c>
      <c r="C5" s="1" t="s">
        <v>15</v>
      </c>
      <c r="D5" s="1" t="n">
        <v>4</v>
      </c>
      <c r="E5" s="5" t="s">
        <v>16</v>
      </c>
      <c r="F5" s="5" t="s">
        <v>17</v>
      </c>
      <c r="G5" s="1" t="s">
        <v>34</v>
      </c>
      <c r="H5" s="2" t="s">
        <v>35</v>
      </c>
      <c r="I5" s="5" t="s">
        <v>36</v>
      </c>
      <c r="J5" s="6" t="s">
        <v>37</v>
      </c>
      <c r="K5" s="5" t="n">
        <v>0.58</v>
      </c>
      <c r="L5" s="5" t="n">
        <f aca="false">K5*D5</f>
        <v>2.32</v>
      </c>
      <c r="P5" s="5"/>
    </row>
    <row r="6" customFormat="false" ht="12.8" hidden="false" customHeight="false" outlineLevel="0" collapsed="false">
      <c r="A6" s="5" t="n">
        <f aca="false">A5+1</f>
        <v>5</v>
      </c>
      <c r="B6" s="1" t="s">
        <v>38</v>
      </c>
      <c r="C6" s="1" t="s">
        <v>15</v>
      </c>
      <c r="D6" s="1" t="n">
        <v>2</v>
      </c>
      <c r="E6" s="5" t="s">
        <v>16</v>
      </c>
      <c r="F6" s="5" t="s">
        <v>17</v>
      </c>
      <c r="G6" s="1" t="s">
        <v>39</v>
      </c>
      <c r="H6" s="2" t="s">
        <v>40</v>
      </c>
      <c r="I6" s="5" t="s">
        <v>41</v>
      </c>
      <c r="J6" s="6" t="s">
        <v>42</v>
      </c>
      <c r="K6" s="5" t="n">
        <v>0.96</v>
      </c>
      <c r="L6" s="5" t="n">
        <f aca="false">K6*D6</f>
        <v>1.92</v>
      </c>
      <c r="P6" s="5"/>
    </row>
    <row r="7" customFormat="false" ht="12.8" hidden="false" customHeight="false" outlineLevel="0" collapsed="false">
      <c r="A7" s="5" t="n">
        <f aca="false">A6+1</f>
        <v>6</v>
      </c>
      <c r="B7" s="1" t="s">
        <v>43</v>
      </c>
      <c r="C7" s="1" t="s">
        <v>15</v>
      </c>
      <c r="D7" s="1" t="n">
        <v>1</v>
      </c>
      <c r="E7" s="1" t="s">
        <v>16</v>
      </c>
      <c r="F7" s="5" t="s">
        <v>17</v>
      </c>
      <c r="G7" s="1" t="s">
        <v>44</v>
      </c>
      <c r="H7" s="2" t="s">
        <v>45</v>
      </c>
      <c r="I7" s="5" t="s">
        <v>46</v>
      </c>
      <c r="J7" s="6" t="s">
        <v>47</v>
      </c>
      <c r="K7" s="5" t="n">
        <v>0.81</v>
      </c>
      <c r="L7" s="5" t="n">
        <f aca="false">K7*D7</f>
        <v>0.81</v>
      </c>
      <c r="P7" s="5"/>
    </row>
    <row r="8" customFormat="false" ht="12.8" hidden="false" customHeight="false" outlineLevel="0" collapsed="false">
      <c r="A8" s="5" t="n">
        <f aca="false">A7+1</f>
        <v>7</v>
      </c>
      <c r="B8" s="1" t="s">
        <v>48</v>
      </c>
      <c r="C8" s="1" t="s">
        <v>49</v>
      </c>
      <c r="D8" s="1" t="n">
        <v>1</v>
      </c>
      <c r="E8" s="1" t="s">
        <v>50</v>
      </c>
      <c r="F8" s="1" t="s">
        <v>51</v>
      </c>
      <c r="G8" s="5" t="s">
        <v>52</v>
      </c>
      <c r="H8" s="2" t="s">
        <v>52</v>
      </c>
      <c r="I8" s="5" t="s">
        <v>53</v>
      </c>
      <c r="J8" s="6" t="s">
        <v>54</v>
      </c>
      <c r="K8" s="5" t="n">
        <v>0.04</v>
      </c>
      <c r="L8" s="5" t="n">
        <f aca="false">K8*D8</f>
        <v>0.04</v>
      </c>
      <c r="M8" s="1" t="s">
        <v>55</v>
      </c>
      <c r="N8" s="1" t="s">
        <v>56</v>
      </c>
      <c r="O8" s="1" t="n">
        <v>0.1</v>
      </c>
      <c r="P8" s="5"/>
    </row>
    <row r="9" customFormat="false" ht="12.8" hidden="false" customHeight="false" outlineLevel="0" collapsed="false">
      <c r="A9" s="5" t="n">
        <f aca="false">A8+1</f>
        <v>8</v>
      </c>
      <c r="B9" s="1" t="s">
        <v>57</v>
      </c>
      <c r="C9" s="1" t="s">
        <v>58</v>
      </c>
      <c r="D9" s="1" t="n">
        <v>1</v>
      </c>
      <c r="E9" s="1" t="s">
        <v>59</v>
      </c>
      <c r="F9" s="1" t="s">
        <v>60</v>
      </c>
      <c r="G9" s="1" t="s">
        <v>61</v>
      </c>
      <c r="H9" s="2" t="s">
        <v>62</v>
      </c>
      <c r="I9" s="5" t="s">
        <v>63</v>
      </c>
      <c r="J9" s="6" t="s">
        <v>64</v>
      </c>
      <c r="K9" s="5" t="n">
        <v>0.19</v>
      </c>
      <c r="L9" s="5" t="n">
        <f aca="false">K9*D9</f>
        <v>0.19</v>
      </c>
      <c r="M9" s="1" t="s">
        <v>65</v>
      </c>
      <c r="N9" s="1" t="s">
        <v>66</v>
      </c>
      <c r="O9" s="1" t="n">
        <v>0.34</v>
      </c>
      <c r="P9" s="5"/>
    </row>
    <row r="10" customFormat="false" ht="12.8" hidden="false" customHeight="false" outlineLevel="0" collapsed="false">
      <c r="A10" s="5" t="n">
        <f aca="false">A9+1</f>
        <v>9</v>
      </c>
      <c r="B10" s="1" t="s">
        <v>67</v>
      </c>
      <c r="C10" s="1" t="s">
        <v>58</v>
      </c>
      <c r="D10" s="1" t="n">
        <v>1</v>
      </c>
      <c r="E10" s="1" t="s">
        <v>59</v>
      </c>
      <c r="F10" s="5" t="s">
        <v>60</v>
      </c>
      <c r="G10" s="1" t="s">
        <v>68</v>
      </c>
      <c r="H10" s="2" t="s">
        <v>69</v>
      </c>
      <c r="I10" s="5" t="s">
        <v>70</v>
      </c>
      <c r="J10" s="6" t="s">
        <v>71</v>
      </c>
      <c r="K10" s="5" t="n">
        <v>0.17</v>
      </c>
      <c r="L10" s="5" t="n">
        <f aca="false">K10*D10</f>
        <v>0.17</v>
      </c>
      <c r="M10" s="1" t="s">
        <v>72</v>
      </c>
      <c r="N10" s="1" t="s">
        <v>73</v>
      </c>
      <c r="O10" s="1" t="n">
        <v>0.24</v>
      </c>
      <c r="P10" s="5"/>
    </row>
    <row r="11" customFormat="false" ht="12.8" hidden="false" customHeight="false" outlineLevel="0" collapsed="false">
      <c r="A11" s="5" t="n">
        <f aca="false">A10+1</f>
        <v>10</v>
      </c>
      <c r="B11" s="1" t="s">
        <v>74</v>
      </c>
      <c r="C11" s="1" t="s">
        <v>58</v>
      </c>
      <c r="D11" s="1" t="n">
        <v>2</v>
      </c>
      <c r="E11" s="1" t="s">
        <v>59</v>
      </c>
      <c r="F11" s="5" t="s">
        <v>60</v>
      </c>
      <c r="G11" s="1" t="s">
        <v>75</v>
      </c>
      <c r="H11" s="2" t="s">
        <v>76</v>
      </c>
      <c r="I11" s="5" t="s">
        <v>77</v>
      </c>
      <c r="J11" s="6" t="s">
        <v>78</v>
      </c>
      <c r="K11" s="5" t="n">
        <v>0.2</v>
      </c>
      <c r="L11" s="5" t="n">
        <f aca="false">K11*D11</f>
        <v>0.4</v>
      </c>
      <c r="M11" s="1" t="s">
        <v>79</v>
      </c>
      <c r="N11" s="1" t="s">
        <v>80</v>
      </c>
      <c r="O11" s="1" t="n">
        <v>0.27</v>
      </c>
      <c r="P11" s="5"/>
    </row>
    <row r="12" customFormat="false" ht="12.8" hidden="false" customHeight="false" outlineLevel="0" collapsed="false">
      <c r="A12" s="5" t="n">
        <f aca="false">A11+1</f>
        <v>11</v>
      </c>
      <c r="B12" s="1" t="s">
        <v>81</v>
      </c>
      <c r="C12" s="1" t="s">
        <v>82</v>
      </c>
      <c r="D12" s="1" t="n">
        <v>1</v>
      </c>
      <c r="E12" s="1" t="s">
        <v>83</v>
      </c>
      <c r="F12" s="1" t="s">
        <v>84</v>
      </c>
      <c r="G12" s="1" t="s">
        <v>85</v>
      </c>
      <c r="H12" s="2" t="s">
        <v>86</v>
      </c>
      <c r="I12" s="5" t="s">
        <v>87</v>
      </c>
      <c r="J12" s="6" t="s">
        <v>88</v>
      </c>
      <c r="K12" s="5" t="n">
        <v>0.45</v>
      </c>
      <c r="L12" s="5" t="n">
        <f aca="false">K12*D12</f>
        <v>0.45</v>
      </c>
      <c r="P12" s="5"/>
    </row>
    <row r="13" customFormat="false" ht="12.8" hidden="false" customHeight="false" outlineLevel="0" collapsed="false">
      <c r="A13" s="5" t="n">
        <f aca="false">A12+1</f>
        <v>12</v>
      </c>
      <c r="B13" s="1" t="s">
        <v>89</v>
      </c>
      <c r="C13" s="1" t="s">
        <v>49</v>
      </c>
      <c r="D13" s="1" t="n">
        <v>2</v>
      </c>
      <c r="E13" s="1" t="s">
        <v>90</v>
      </c>
      <c r="F13" s="1" t="s">
        <v>91</v>
      </c>
      <c r="G13" s="1" t="s">
        <v>92</v>
      </c>
      <c r="H13" s="2" t="s">
        <v>92</v>
      </c>
      <c r="I13" s="5" t="s">
        <v>93</v>
      </c>
      <c r="J13" s="6" t="s">
        <v>94</v>
      </c>
      <c r="K13" s="7" t="n">
        <v>0.56</v>
      </c>
      <c r="L13" s="5" t="n">
        <f aca="false">K13*D13</f>
        <v>1.12</v>
      </c>
      <c r="M13" s="1" t="s">
        <v>95</v>
      </c>
      <c r="N13" s="1" t="s">
        <v>96</v>
      </c>
      <c r="O13" s="1" t="n">
        <v>0.26</v>
      </c>
      <c r="P13" s="5"/>
    </row>
    <row r="14" customFormat="false" ht="12.8" hidden="false" customHeight="false" outlineLevel="0" collapsed="false">
      <c r="A14" s="5" t="n">
        <f aca="false">A13+1</f>
        <v>13</v>
      </c>
      <c r="B14" s="1" t="s">
        <v>97</v>
      </c>
      <c r="C14" s="1" t="s">
        <v>98</v>
      </c>
      <c r="D14" s="1" t="n">
        <v>1</v>
      </c>
      <c r="E14" s="1" t="s">
        <v>99</v>
      </c>
      <c r="F14" s="1" t="s">
        <v>100</v>
      </c>
      <c r="G14" s="5" t="s">
        <v>98</v>
      </c>
      <c r="H14" s="2" t="s">
        <v>98</v>
      </c>
      <c r="I14" s="5" t="s">
        <v>101</v>
      </c>
      <c r="J14" s="6" t="s">
        <v>102</v>
      </c>
      <c r="K14" s="5" t="n">
        <v>1.17</v>
      </c>
      <c r="L14" s="5" t="n">
        <f aca="false">K14*D14</f>
        <v>1.17</v>
      </c>
      <c r="M14" s="1" t="s">
        <v>103</v>
      </c>
      <c r="N14" s="1" t="s">
        <v>104</v>
      </c>
      <c r="O14" s="1" t="n">
        <v>1.25</v>
      </c>
      <c r="P14" s="5"/>
    </row>
    <row r="15" customFormat="false" ht="12.8" hidden="false" customHeight="false" outlineLevel="0" collapsed="false">
      <c r="A15" s="5" t="n">
        <f aca="false">A14+1</f>
        <v>14</v>
      </c>
      <c r="B15" s="1" t="s">
        <v>105</v>
      </c>
      <c r="C15" s="1" t="s">
        <v>106</v>
      </c>
      <c r="D15" s="1" t="n">
        <v>1</v>
      </c>
      <c r="E15" s="1" t="s">
        <v>107</v>
      </c>
      <c r="F15" s="1" t="s">
        <v>100</v>
      </c>
      <c r="G15" s="5" t="s">
        <v>108</v>
      </c>
      <c r="H15" s="2" t="s">
        <v>108</v>
      </c>
      <c r="I15" s="5" t="s">
        <v>109</v>
      </c>
      <c r="J15" s="6" t="s">
        <v>110</v>
      </c>
      <c r="K15" s="5" t="n">
        <v>1.9</v>
      </c>
      <c r="L15" s="5" t="n">
        <f aca="false">K15*D15</f>
        <v>1.9</v>
      </c>
      <c r="M15" s="1" t="s">
        <v>111</v>
      </c>
      <c r="N15" s="1" t="s">
        <v>112</v>
      </c>
      <c r="O15" s="1" t="n">
        <v>2.03</v>
      </c>
      <c r="P15" s="5"/>
    </row>
    <row r="16" customFormat="false" ht="12.8" hidden="false" customHeight="false" outlineLevel="0" collapsed="false">
      <c r="A16" s="5" t="n">
        <f aca="false">A15+1</f>
        <v>15</v>
      </c>
      <c r="B16" s="1" t="s">
        <v>113</v>
      </c>
      <c r="C16" s="1" t="s">
        <v>114</v>
      </c>
      <c r="D16" s="1" t="n">
        <v>1</v>
      </c>
      <c r="E16" s="5" t="s">
        <v>115</v>
      </c>
      <c r="F16" s="1" t="s">
        <v>116</v>
      </c>
      <c r="G16" s="1" t="s">
        <v>117</v>
      </c>
      <c r="H16" s="2" t="s">
        <v>118</v>
      </c>
      <c r="I16" s="5" t="s">
        <v>119</v>
      </c>
      <c r="J16" s="6" t="s">
        <v>120</v>
      </c>
      <c r="K16" s="5" t="n">
        <v>0.2</v>
      </c>
      <c r="L16" s="5" t="n">
        <f aca="false">K16*D16</f>
        <v>0.2</v>
      </c>
      <c r="M16" s="1" t="s">
        <v>121</v>
      </c>
      <c r="N16" s="1" t="s">
        <v>122</v>
      </c>
      <c r="O16" s="1" t="n">
        <v>0.49</v>
      </c>
      <c r="P16" s="5"/>
    </row>
    <row r="17" customFormat="false" ht="12.8" hidden="false" customHeight="false" outlineLevel="0" collapsed="false">
      <c r="A17" s="5" t="n">
        <f aca="false">A16+1</f>
        <v>16</v>
      </c>
      <c r="B17" s="1" t="s">
        <v>123</v>
      </c>
      <c r="C17" s="1" t="s">
        <v>124</v>
      </c>
      <c r="D17" s="1" t="n">
        <v>1</v>
      </c>
      <c r="E17" s="5" t="s">
        <v>115</v>
      </c>
      <c r="F17" s="1" t="s">
        <v>125</v>
      </c>
      <c r="G17" s="1" t="s">
        <v>126</v>
      </c>
      <c r="H17" s="2" t="s">
        <v>126</v>
      </c>
      <c r="I17" s="5" t="s">
        <v>127</v>
      </c>
      <c r="J17" s="6" t="s">
        <v>128</v>
      </c>
      <c r="K17" s="7" t="n">
        <v>1.31</v>
      </c>
      <c r="L17" s="5" t="n">
        <f aca="false">K17*D17</f>
        <v>1.31</v>
      </c>
      <c r="M17" s="1" t="s">
        <v>129</v>
      </c>
      <c r="N17" s="1" t="s">
        <v>130</v>
      </c>
      <c r="O17" s="1" t="n">
        <v>0.86</v>
      </c>
      <c r="P17" s="5"/>
    </row>
    <row r="18" customFormat="false" ht="12.8" hidden="false" customHeight="false" outlineLevel="0" collapsed="false">
      <c r="A18" s="5" t="n">
        <f aca="false">A17+1</f>
        <v>17</v>
      </c>
      <c r="B18" s="1" t="s">
        <v>131</v>
      </c>
      <c r="C18" s="1" t="s">
        <v>132</v>
      </c>
      <c r="D18" s="1" t="n">
        <v>1</v>
      </c>
      <c r="E18" s="5" t="s">
        <v>115</v>
      </c>
      <c r="F18" s="1" t="s">
        <v>133</v>
      </c>
      <c r="G18" s="8" t="s">
        <v>134</v>
      </c>
      <c r="H18" s="2" t="s">
        <v>135</v>
      </c>
      <c r="I18" s="8" t="s">
        <v>136</v>
      </c>
      <c r="J18" s="8" t="s">
        <v>137</v>
      </c>
      <c r="K18" s="5" t="n">
        <v>0.65</v>
      </c>
      <c r="L18" s="5" t="n">
        <f aca="false">K18*D18</f>
        <v>0.65</v>
      </c>
      <c r="P18" s="5"/>
    </row>
    <row r="19" customFormat="false" ht="12.8" hidden="false" customHeight="false" outlineLevel="0" collapsed="false">
      <c r="A19" s="5" t="n">
        <f aca="false">A18+1</f>
        <v>18</v>
      </c>
      <c r="B19" s="1" t="s">
        <v>138</v>
      </c>
      <c r="C19" s="1" t="s">
        <v>139</v>
      </c>
      <c r="D19" s="1" t="n">
        <v>1</v>
      </c>
      <c r="E19" s="5" t="s">
        <v>115</v>
      </c>
      <c r="F19" s="1" t="s">
        <v>140</v>
      </c>
      <c r="G19" s="5" t="s">
        <v>140</v>
      </c>
      <c r="H19" s="2" t="s">
        <v>141</v>
      </c>
      <c r="I19" s="5"/>
      <c r="J19" s="5" t="s">
        <v>142</v>
      </c>
      <c r="K19" s="5"/>
      <c r="L19" s="5"/>
      <c r="P19" s="5"/>
    </row>
    <row r="20" customFormat="false" ht="12.8" hidden="false" customHeight="false" outlineLevel="0" collapsed="false">
      <c r="A20" s="5" t="n">
        <f aca="false">A19+1</f>
        <v>19</v>
      </c>
      <c r="B20" s="1" t="s">
        <v>143</v>
      </c>
      <c r="C20" s="1" t="s">
        <v>144</v>
      </c>
      <c r="D20" s="1" t="n">
        <v>1</v>
      </c>
      <c r="E20" s="5" t="s">
        <v>115</v>
      </c>
      <c r="F20" s="5" t="s">
        <v>140</v>
      </c>
      <c r="G20" s="5" t="s">
        <v>140</v>
      </c>
      <c r="H20" s="1" t="s">
        <v>145</v>
      </c>
      <c r="I20" s="5"/>
      <c r="J20" s="5" t="s">
        <v>142</v>
      </c>
      <c r="K20" s="5"/>
      <c r="L20" s="5"/>
      <c r="P20" s="5"/>
    </row>
    <row r="21" customFormat="false" ht="12.8" hidden="false" customHeight="false" outlineLevel="0" collapsed="false">
      <c r="A21" s="5" t="n">
        <f aca="false">A20+1</f>
        <v>20</v>
      </c>
      <c r="B21" s="1" t="s">
        <v>146</v>
      </c>
      <c r="C21" s="1" t="s">
        <v>147</v>
      </c>
      <c r="D21" s="1" t="n">
        <v>1</v>
      </c>
      <c r="E21" s="1" t="s">
        <v>115</v>
      </c>
      <c r="F21" s="5" t="s">
        <v>140</v>
      </c>
      <c r="G21" s="5" t="s">
        <v>140</v>
      </c>
      <c r="H21" s="1" t="s">
        <v>148</v>
      </c>
      <c r="I21" s="5"/>
      <c r="J21" s="5" t="s">
        <v>142</v>
      </c>
      <c r="K21" s="5"/>
      <c r="L21" s="5"/>
      <c r="P21" s="5"/>
    </row>
    <row r="22" customFormat="false" ht="12.8" hidden="false" customHeight="false" outlineLevel="0" collapsed="false">
      <c r="A22" s="5" t="n">
        <f aca="false">A21+1</f>
        <v>21</v>
      </c>
      <c r="B22" s="1" t="s">
        <v>149</v>
      </c>
      <c r="C22" s="1" t="s">
        <v>150</v>
      </c>
      <c r="D22" s="1" t="n">
        <v>1</v>
      </c>
      <c r="E22" s="1" t="s">
        <v>151</v>
      </c>
      <c r="F22" s="1" t="s">
        <v>152</v>
      </c>
      <c r="G22" s="5" t="s">
        <v>153</v>
      </c>
      <c r="H22" s="2" t="s">
        <v>153</v>
      </c>
      <c r="I22" s="5" t="s">
        <v>154</v>
      </c>
      <c r="J22" s="6" t="s">
        <v>155</v>
      </c>
      <c r="K22" s="5" t="n">
        <v>0.13</v>
      </c>
      <c r="L22" s="5" t="n">
        <f aca="false">K22*D22</f>
        <v>0.13</v>
      </c>
      <c r="M22" s="1" t="s">
        <v>156</v>
      </c>
      <c r="N22" s="1" t="s">
        <v>157</v>
      </c>
      <c r="O22" s="1" t="n">
        <v>0.25</v>
      </c>
      <c r="P22" s="5"/>
    </row>
    <row r="23" customFormat="false" ht="12.8" hidden="false" customHeight="false" outlineLevel="0" collapsed="false">
      <c r="A23" s="5" t="n">
        <f aca="false">A22+1</f>
        <v>22</v>
      </c>
      <c r="B23" s="1" t="s">
        <v>158</v>
      </c>
      <c r="C23" s="1" t="s">
        <v>159</v>
      </c>
      <c r="D23" s="1" t="n">
        <v>2</v>
      </c>
      <c r="E23" s="5" t="s">
        <v>160</v>
      </c>
      <c r="F23" s="5" t="s">
        <v>23</v>
      </c>
      <c r="G23" s="1" t="s">
        <v>161</v>
      </c>
      <c r="H23" s="2" t="s">
        <v>162</v>
      </c>
      <c r="I23" s="5" t="s">
        <v>163</v>
      </c>
      <c r="J23" s="6" t="s">
        <v>164</v>
      </c>
      <c r="K23" s="5" t="n">
        <v>0.08</v>
      </c>
      <c r="L23" s="5" t="n">
        <f aca="false">K23*D23</f>
        <v>0.16</v>
      </c>
      <c r="P23" s="5"/>
    </row>
    <row r="24" customFormat="false" ht="12.8" hidden="false" customHeight="false" outlineLevel="0" collapsed="false">
      <c r="A24" s="5" t="n">
        <f aca="false">A23+1</f>
        <v>23</v>
      </c>
      <c r="B24" s="1" t="s">
        <v>165</v>
      </c>
      <c r="C24" s="1" t="s">
        <v>159</v>
      </c>
      <c r="D24" s="1" t="n">
        <v>2</v>
      </c>
      <c r="E24" s="5" t="s">
        <v>160</v>
      </c>
      <c r="F24" s="5" t="s">
        <v>23</v>
      </c>
      <c r="G24" s="1" t="s">
        <v>166</v>
      </c>
      <c r="H24" s="2" t="s">
        <v>167</v>
      </c>
      <c r="I24" s="5" t="s">
        <v>168</v>
      </c>
      <c r="J24" s="6" t="s">
        <v>169</v>
      </c>
      <c r="K24" s="5" t="n">
        <v>0.08</v>
      </c>
      <c r="L24" s="5" t="n">
        <f aca="false">K24*D24</f>
        <v>0.16</v>
      </c>
      <c r="P24" s="5"/>
    </row>
    <row r="25" customFormat="false" ht="12.8" hidden="false" customHeight="false" outlineLevel="0" collapsed="false">
      <c r="A25" s="5" t="n">
        <f aca="false">A24+1</f>
        <v>24</v>
      </c>
      <c r="B25" s="1" t="s">
        <v>170</v>
      </c>
      <c r="C25" s="1" t="s">
        <v>159</v>
      </c>
      <c r="D25" s="1" t="n">
        <v>1</v>
      </c>
      <c r="E25" s="5" t="s">
        <v>160</v>
      </c>
      <c r="F25" s="5" t="s">
        <v>23</v>
      </c>
      <c r="G25" s="1" t="s">
        <v>171</v>
      </c>
      <c r="H25" s="2" t="n">
        <v>330</v>
      </c>
      <c r="I25" s="5" t="s">
        <v>172</v>
      </c>
      <c r="J25" s="6" t="s">
        <v>173</v>
      </c>
      <c r="K25" s="5" t="n">
        <v>0.08</v>
      </c>
      <c r="L25" s="5" t="n">
        <f aca="false">K25*D25</f>
        <v>0.08</v>
      </c>
      <c r="P25" s="5"/>
    </row>
    <row r="26" customFormat="false" ht="12.8" hidden="false" customHeight="false" outlineLevel="0" collapsed="false">
      <c r="A26" s="5" t="n">
        <f aca="false">A25+1</f>
        <v>25</v>
      </c>
      <c r="B26" s="1" t="s">
        <v>174</v>
      </c>
      <c r="C26" s="1" t="s">
        <v>159</v>
      </c>
      <c r="D26" s="1" t="n">
        <v>1</v>
      </c>
      <c r="E26" s="5" t="s">
        <v>160</v>
      </c>
      <c r="F26" s="5" t="s">
        <v>23</v>
      </c>
      <c r="G26" s="1" t="s">
        <v>175</v>
      </c>
      <c r="H26" s="2" t="s">
        <v>176</v>
      </c>
      <c r="I26" s="5" t="s">
        <v>177</v>
      </c>
      <c r="J26" s="6" t="s">
        <v>178</v>
      </c>
      <c r="K26" s="5" t="n">
        <v>0.08</v>
      </c>
      <c r="L26" s="5" t="n">
        <f aca="false">K26*D26</f>
        <v>0.08</v>
      </c>
      <c r="P26" s="5"/>
    </row>
    <row r="27" customFormat="false" ht="12.8" hidden="false" customHeight="false" outlineLevel="0" collapsed="false">
      <c r="A27" s="5" t="n">
        <f aca="false">A26+1</f>
        <v>26</v>
      </c>
      <c r="B27" s="1" t="s">
        <v>179</v>
      </c>
      <c r="C27" s="1" t="s">
        <v>159</v>
      </c>
      <c r="D27" s="1" t="n">
        <v>1</v>
      </c>
      <c r="E27" s="5" t="s">
        <v>160</v>
      </c>
      <c r="F27" s="5" t="s">
        <v>23</v>
      </c>
      <c r="G27" s="1" t="s">
        <v>180</v>
      </c>
      <c r="H27" s="2" t="n">
        <v>300</v>
      </c>
      <c r="I27" s="5" t="s">
        <v>181</v>
      </c>
      <c r="J27" s="6" t="s">
        <v>182</v>
      </c>
      <c r="K27" s="5" t="n">
        <v>0.08</v>
      </c>
      <c r="L27" s="5" t="n">
        <f aca="false">K27*D27</f>
        <v>0.08</v>
      </c>
      <c r="P27" s="5"/>
    </row>
    <row r="28" customFormat="false" ht="12.8" hidden="false" customHeight="false" outlineLevel="0" collapsed="false">
      <c r="A28" s="5" t="n">
        <f aca="false">A27+1</f>
        <v>27</v>
      </c>
      <c r="B28" s="1" t="s">
        <v>183</v>
      </c>
      <c r="C28" s="1" t="s">
        <v>159</v>
      </c>
      <c r="D28" s="1" t="n">
        <v>2</v>
      </c>
      <c r="E28" s="5" t="s">
        <v>160</v>
      </c>
      <c r="F28" s="5" t="s">
        <v>23</v>
      </c>
      <c r="G28" s="1" t="s">
        <v>184</v>
      </c>
      <c r="H28" s="2" t="s">
        <v>185</v>
      </c>
      <c r="I28" s="5" t="s">
        <v>186</v>
      </c>
      <c r="J28" s="6" t="s">
        <v>187</v>
      </c>
      <c r="K28" s="5" t="n">
        <v>0.08</v>
      </c>
      <c r="L28" s="5" t="n">
        <f aca="false">K28*D28</f>
        <v>0.16</v>
      </c>
      <c r="P28" s="5"/>
    </row>
    <row r="29" customFormat="false" ht="12.8" hidden="false" customHeight="false" outlineLevel="0" collapsed="false">
      <c r="A29" s="5" t="n">
        <f aca="false">A28+1</f>
        <v>28</v>
      </c>
      <c r="B29" s="1" t="s">
        <v>188</v>
      </c>
      <c r="C29" s="1" t="s">
        <v>159</v>
      </c>
      <c r="D29" s="1" t="n">
        <v>4</v>
      </c>
      <c r="E29" s="5" t="s">
        <v>160</v>
      </c>
      <c r="F29" s="5" t="s">
        <v>23</v>
      </c>
      <c r="G29" s="1" t="s">
        <v>189</v>
      </c>
      <c r="H29" s="2" t="s">
        <v>190</v>
      </c>
      <c r="I29" s="5" t="s">
        <v>191</v>
      </c>
      <c r="J29" s="6" t="s">
        <v>192</v>
      </c>
      <c r="K29" s="5" t="n">
        <v>0.09</v>
      </c>
      <c r="L29" s="5" t="n">
        <f aca="false">K29*D29</f>
        <v>0.36</v>
      </c>
      <c r="P29" s="5"/>
    </row>
    <row r="30" customFormat="false" ht="12.8" hidden="false" customHeight="false" outlineLevel="0" collapsed="false">
      <c r="A30" s="5" t="n">
        <f aca="false">A29+1</f>
        <v>29</v>
      </c>
      <c r="B30" s="1" t="s">
        <v>193</v>
      </c>
      <c r="C30" s="1" t="s">
        <v>194</v>
      </c>
      <c r="D30" s="1" t="n">
        <v>2</v>
      </c>
      <c r="E30" s="1" t="s">
        <v>195</v>
      </c>
      <c r="F30" s="5" t="s">
        <v>196</v>
      </c>
      <c r="G30" s="2" t="s">
        <v>194</v>
      </c>
      <c r="H30" s="2" t="s">
        <v>194</v>
      </c>
      <c r="I30" s="5" t="s">
        <v>197</v>
      </c>
      <c r="J30" s="6" t="s">
        <v>198</v>
      </c>
      <c r="K30" s="7" t="n">
        <v>1.72</v>
      </c>
      <c r="L30" s="5" t="n">
        <f aca="false">K30*D30</f>
        <v>3.44</v>
      </c>
      <c r="M30" s="1" t="s">
        <v>199</v>
      </c>
      <c r="N30" s="1" t="s">
        <v>200</v>
      </c>
      <c r="O30" s="1" t="n">
        <v>0.4</v>
      </c>
      <c r="P30" s="5"/>
    </row>
    <row r="31" customFormat="false" ht="12.8" hidden="false" customHeight="false" outlineLevel="0" collapsed="false">
      <c r="A31" s="5" t="n">
        <f aca="false">A30+1</f>
        <v>30</v>
      </c>
      <c r="B31" s="1" t="s">
        <v>201</v>
      </c>
      <c r="C31" s="1" t="s">
        <v>159</v>
      </c>
      <c r="D31" s="1" t="n">
        <v>2</v>
      </c>
      <c r="E31" s="1" t="s">
        <v>160</v>
      </c>
      <c r="F31" s="5" t="s">
        <v>23</v>
      </c>
      <c r="G31" s="1" t="s">
        <v>202</v>
      </c>
      <c r="H31" s="2" t="s">
        <v>203</v>
      </c>
      <c r="I31" s="5" t="s">
        <v>204</v>
      </c>
      <c r="J31" s="6" t="s">
        <v>205</v>
      </c>
      <c r="K31" s="5" t="n">
        <v>0.08</v>
      </c>
      <c r="L31" s="5" t="n">
        <f aca="false">K31*D31</f>
        <v>0.16</v>
      </c>
      <c r="P31" s="5"/>
    </row>
    <row r="32" customFormat="false" ht="12.8" hidden="false" customHeight="false" outlineLevel="0" collapsed="false">
      <c r="A32" s="5" t="n">
        <f aca="false">A31+1</f>
        <v>31</v>
      </c>
      <c r="B32" s="1" t="s">
        <v>206</v>
      </c>
      <c r="C32" s="1" t="s">
        <v>159</v>
      </c>
      <c r="D32" s="1" t="n">
        <v>1</v>
      </c>
      <c r="E32" s="1" t="s">
        <v>207</v>
      </c>
      <c r="F32" s="1" t="s">
        <v>208</v>
      </c>
      <c r="G32" s="1" t="s">
        <v>209</v>
      </c>
      <c r="H32" s="2" t="s">
        <v>210</v>
      </c>
      <c r="I32" s="5" t="s">
        <v>211</v>
      </c>
      <c r="J32" s="6" t="s">
        <v>212</v>
      </c>
      <c r="K32" s="5" t="n">
        <v>0.01</v>
      </c>
      <c r="L32" s="5" t="n">
        <f aca="false">K32*D32</f>
        <v>0.01</v>
      </c>
      <c r="P32" s="5"/>
    </row>
    <row r="33" customFormat="false" ht="12.9" hidden="false" customHeight="false" outlineLevel="0" collapsed="false">
      <c r="A33" s="5" t="n">
        <f aca="false">A32+1</f>
        <v>32</v>
      </c>
      <c r="B33" s="1" t="s">
        <v>213</v>
      </c>
      <c r="C33" s="1" t="s">
        <v>214</v>
      </c>
      <c r="D33" s="1" t="n">
        <v>1</v>
      </c>
      <c r="E33" s="1" t="s">
        <v>215</v>
      </c>
      <c r="F33" s="1" t="s">
        <v>216</v>
      </c>
      <c r="G33" s="9" t="s">
        <v>217</v>
      </c>
      <c r="H33" s="2" t="s">
        <v>218</v>
      </c>
      <c r="I33" s="9" t="s">
        <v>219</v>
      </c>
      <c r="J33" s="10" t="s">
        <v>220</v>
      </c>
      <c r="K33" s="9" t="n">
        <v>4.6185</v>
      </c>
      <c r="L33" s="5" t="n">
        <f aca="false">K33*D33</f>
        <v>4.6185</v>
      </c>
      <c r="P33" s="5"/>
    </row>
    <row r="34" customFormat="false" ht="12.8" hidden="false" customHeight="false" outlineLevel="0" collapsed="false">
      <c r="A34" s="5" t="n">
        <f aca="false">A33+1</f>
        <v>33</v>
      </c>
      <c r="B34" s="1" t="s">
        <v>221</v>
      </c>
      <c r="C34" s="1" t="s">
        <v>222</v>
      </c>
      <c r="D34" s="1" t="n">
        <v>1</v>
      </c>
      <c r="E34" s="1" t="s">
        <v>223</v>
      </c>
      <c r="F34" s="1" t="s">
        <v>224</v>
      </c>
      <c r="G34" s="1" t="s">
        <v>225</v>
      </c>
      <c r="H34" s="2" t="s">
        <v>226</v>
      </c>
      <c r="I34" s="5" t="s">
        <v>227</v>
      </c>
      <c r="J34" s="6" t="s">
        <v>228</v>
      </c>
      <c r="K34" s="5" t="n">
        <v>2.66</v>
      </c>
      <c r="L34" s="5" t="n">
        <f aca="false">K34*D34</f>
        <v>2.66</v>
      </c>
      <c r="M34" s="1" t="s">
        <v>229</v>
      </c>
      <c r="N34" s="1" t="s">
        <v>230</v>
      </c>
      <c r="O34" s="1" t="n">
        <v>5.77</v>
      </c>
      <c r="P34" s="5"/>
    </row>
    <row r="35" customFormat="false" ht="12.8" hidden="false" customHeight="false" outlineLevel="0" collapsed="false">
      <c r="A35" s="5" t="n">
        <f aca="false">A34+1</f>
        <v>34</v>
      </c>
      <c r="B35" s="1" t="s">
        <v>231</v>
      </c>
      <c r="C35" s="1" t="s">
        <v>232</v>
      </c>
      <c r="D35" s="1" t="n">
        <v>1</v>
      </c>
      <c r="E35" s="1" t="s">
        <v>233</v>
      </c>
      <c r="F35" s="1" t="s">
        <v>234</v>
      </c>
      <c r="G35" s="1" t="s">
        <v>235</v>
      </c>
      <c r="H35" s="2" t="s">
        <v>236</v>
      </c>
      <c r="I35" s="5" t="s">
        <v>237</v>
      </c>
      <c r="J35" s="6" t="s">
        <v>238</v>
      </c>
      <c r="K35" s="5" t="n">
        <v>0.22</v>
      </c>
      <c r="L35" s="5" t="n">
        <f aca="false">K35*D35</f>
        <v>0.22</v>
      </c>
      <c r="M35" s="1" t="s">
        <v>239</v>
      </c>
      <c r="N35" s="1" t="s">
        <v>240</v>
      </c>
      <c r="O35" s="1" t="n">
        <v>1.52</v>
      </c>
      <c r="P35" s="5"/>
    </row>
    <row r="36" customFormat="false" ht="12.8" hidden="false" customHeight="false" outlineLevel="0" collapsed="false">
      <c r="A36" s="5" t="n">
        <f aca="false">A35+1</f>
        <v>35</v>
      </c>
      <c r="B36" s="1" t="s">
        <v>241</v>
      </c>
      <c r="C36" s="1" t="s">
        <v>242</v>
      </c>
      <c r="D36" s="1" t="n">
        <v>2</v>
      </c>
      <c r="E36" s="1" t="s">
        <v>243</v>
      </c>
      <c r="F36" s="1" t="s">
        <v>234</v>
      </c>
      <c r="G36" s="1" t="s">
        <v>244</v>
      </c>
      <c r="H36" s="2" t="s">
        <v>245</v>
      </c>
      <c r="I36" s="5" t="s">
        <v>246</v>
      </c>
      <c r="J36" s="6" t="s">
        <v>247</v>
      </c>
      <c r="K36" s="11" t="n">
        <v>0.88</v>
      </c>
      <c r="L36" s="5" t="n">
        <f aca="false">K36*D36</f>
        <v>1.76</v>
      </c>
      <c r="M36" s="1" t="s">
        <v>248</v>
      </c>
      <c r="N36" s="6" t="s">
        <v>249</v>
      </c>
      <c r="O36" s="1" t="n">
        <v>0.85</v>
      </c>
    </row>
    <row r="37" customFormat="false" ht="12.8" hidden="false" customHeight="false" outlineLevel="0" collapsed="false">
      <c r="P37" s="5"/>
      <c r="Q37" s="5"/>
    </row>
    <row r="38" customFormat="false" ht="12.8" hidden="false" customHeight="false" outlineLevel="0" collapsed="false">
      <c r="L38" s="1" t="n">
        <f aca="false">SUM(L2:L36)</f>
        <v>29.0285</v>
      </c>
    </row>
  </sheetData>
  <hyperlinks>
    <hyperlink ref="J2" r:id="rId1" display="https://www.lcsc.com/product-detail/C71687.html?s_z=n_C71687"/>
    <hyperlink ref="J3" r:id="rId2" display="https://www.lcsc.com/product-detail/C541371.html?s_z=n_C541371"/>
    <hyperlink ref="J4" r:id="rId3" display="https://www.lcsc.com/product-detail/C3845593.html?s_z=n_C3845593"/>
    <hyperlink ref="J5" r:id="rId4" display="https://www.lcsc.com/product-detail/C77000.html?s_z=n_C77000"/>
    <hyperlink ref="J6" r:id="rId5" display="https://www.lcsc.com/product-detail/C126521.html?s_z=n_C126521"/>
    <hyperlink ref="J7" r:id="rId6" display="https://www.lcsc.com/product-detail/C77004.html?s_z=n_C77004"/>
    <hyperlink ref="J8" r:id="rId7" display="https://www.lcsc.com/product-detail/C111566.html?s_z=n_C111566"/>
    <hyperlink ref="J9" r:id="rId8" display="https://www.lcsc.com/product-detail/C511404.html?s_z=n_C511404"/>
    <hyperlink ref="J10" r:id="rId9" display="https://www.lcsc.com/product-detail/C511370.html?s_z=n_C511370"/>
    <hyperlink ref="J11" r:id="rId10" display="https://www.lcsc.com/product-detail/C511042.html?s_z=n_C511042"/>
    <hyperlink ref="J12" r:id="rId11" display="https://www.lcsc.com/product-detail/C965555.html?s_z=n_C965555"/>
    <hyperlink ref="J13" r:id="rId12" display="https://www.lcsc.com/product-detail/C41348159.html?s_z=n_ESD9101P2T5G"/>
    <hyperlink ref="J14" r:id="rId13" display="https://www.lcsc.com/product-detail/C3189971.html?s_z=n_C3189971"/>
    <hyperlink ref="J15" r:id="rId14" display="https://www.lcsc.com/product-detail/C19725033.html?s_z=n_C19725033"/>
    <hyperlink ref="J16" r:id="rId15" display="https://www.lcsc.com/product-detail/C295747.html?s_z=n_C295747"/>
    <hyperlink ref="J17" r:id="rId16" display="https://www.lcsc.com/product-detail/C3445864.html?s_z=n_C3445864"/>
    <hyperlink ref="J22" r:id="rId17" display="https://www.lcsc.com/product-detail/C695609.html?s_z=n_C695609"/>
    <hyperlink ref="J23" r:id="rId18" display="https://www.lcsc.com/product-detail/C60491.html?s_z=n_C60491"/>
    <hyperlink ref="J24" r:id="rId19" display="https://www.lcsc.com/product-detail/C105871.html?s_z=n_C105871"/>
    <hyperlink ref="J25" r:id="rId20" display="https://www.lcsc.com/product-detail/C105875.html?s_z=n_C105875"/>
    <hyperlink ref="J26" r:id="rId21" display="https://www.lcsc.com/product-detail/C138044.html?s_z=n_C138044"/>
    <hyperlink ref="J27" r:id="rId22" display="https://www.lcsc.com/product-detail/C138010.html?s_z=n_C138010"/>
    <hyperlink ref="J28" r:id="rId23" display="https://www.lcsc.com/product-detail/C105872.html?s_z=n_C105872"/>
    <hyperlink ref="J29" r:id="rId24" display="https://www.lcsc.com/product-detail/C114762.html?s_z=n_C114762"/>
    <hyperlink ref="J30" r:id="rId25" display="https://www.lcsc.com/product-detail/C2760981.html?s_z=n_C2760981"/>
    <hyperlink ref="J31" r:id="rId26" display="https://www.lcsc.com/product-detail/C60490.html?s_z=n_C60490"/>
    <hyperlink ref="J32" r:id="rId27" display="https://www.lcsc.com/product-detail/C77131.html?s_z=n_C77131"/>
    <hyperlink ref="J33" r:id="rId28" display="https://www.lcsc.com/product-detail/C2913206.html?s_z=n_C2913206"/>
    <hyperlink ref="J34" r:id="rId29" display="https://www.lcsc.com/product-detail/C2682616.html?s_z=n_C2682616"/>
    <hyperlink ref="J35" r:id="rId30" display="https://www.lcsc.com/product-detail/C99269.html?s_z=n_C99269"/>
    <hyperlink ref="J36" r:id="rId31" display="https://www.lcsc.com/product-detail/C2869734.html?s_z=n_C2869734"/>
    <hyperlink ref="N36" r:id="rId32" display="https://www.mouser.com/ProductDetail/Texas-Instruments/LM66100DCKT?qs=vLWxofP3U2zoiBCtDTudjw%3D%3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2026-06-03T09:42:10Z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